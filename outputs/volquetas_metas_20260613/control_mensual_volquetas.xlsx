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SGSST-APP/outputs/volquetas_metas_20260613/"/>
    </mc:Choice>
  </mc:AlternateContent>
  <xr:revisionPtr revIDLastSave="0" documentId="13_ncr:1_{C79E3795-8C79-604F-AB52-1BD1C43B7387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Resumen" sheetId="1" r:id="rId1"/>
    <sheet name="Registro diario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2" l="1"/>
  <c r="O37" i="2" s="1"/>
  <c r="A36" i="2"/>
  <c r="I36" i="2" s="1"/>
  <c r="A35" i="2"/>
  <c r="K35" i="2" s="1"/>
  <c r="A34" i="2"/>
  <c r="M34" i="2" s="1"/>
  <c r="A33" i="2"/>
  <c r="C32" i="2"/>
  <c r="A32" i="2"/>
  <c r="I32" i="2" s="1"/>
  <c r="J31" i="2"/>
  <c r="C31" i="2"/>
  <c r="A31" i="2"/>
  <c r="K31" i="2" s="1"/>
  <c r="A30" i="2"/>
  <c r="M30" i="2" s="1"/>
  <c r="A29" i="2"/>
  <c r="J28" i="2"/>
  <c r="C28" i="2"/>
  <c r="A28" i="2"/>
  <c r="I28" i="2" s="1"/>
  <c r="J27" i="2"/>
  <c r="C27" i="2"/>
  <c r="A27" i="2"/>
  <c r="J26" i="2"/>
  <c r="A26" i="2"/>
  <c r="M26" i="2" s="1"/>
  <c r="A25" i="2"/>
  <c r="A24" i="2"/>
  <c r="J23" i="2"/>
  <c r="C23" i="2"/>
  <c r="A23" i="2"/>
  <c r="K23" i="2" s="1"/>
  <c r="J22" i="2"/>
  <c r="A22" i="2"/>
  <c r="M22" i="2" s="1"/>
  <c r="A21" i="2"/>
  <c r="A20" i="2"/>
  <c r="J19" i="2"/>
  <c r="C19" i="2"/>
  <c r="A19" i="2"/>
  <c r="J18" i="2"/>
  <c r="A18" i="2"/>
  <c r="M18" i="2" s="1"/>
  <c r="A17" i="2"/>
  <c r="A16" i="2"/>
  <c r="J15" i="2"/>
  <c r="C15" i="2"/>
  <c r="A15" i="2"/>
  <c r="K15" i="2" s="1"/>
  <c r="J14" i="2"/>
  <c r="A14" i="2"/>
  <c r="M14" i="2" s="1"/>
  <c r="A13" i="2"/>
  <c r="C12" i="2"/>
  <c r="A12" i="2"/>
  <c r="J11" i="2"/>
  <c r="C11" i="2"/>
  <c r="A11" i="2"/>
  <c r="J10" i="2"/>
  <c r="A10" i="2"/>
  <c r="M10" i="2" s="1"/>
  <c r="A9" i="2"/>
  <c r="A8" i="2"/>
  <c r="J7" i="2"/>
  <c r="C7" i="2"/>
  <c r="A7" i="2"/>
  <c r="K7" i="2" s="1"/>
  <c r="A3" i="2"/>
  <c r="D29" i="1"/>
  <c r="C29" i="1"/>
  <c r="B29" i="1"/>
  <c r="C28" i="1"/>
  <c r="B28" i="1"/>
  <c r="D28" i="1" s="1"/>
  <c r="C27" i="1"/>
  <c r="B27" i="1"/>
  <c r="D27" i="1" s="1"/>
  <c r="C26" i="1"/>
  <c r="B26" i="1"/>
  <c r="D26" i="1" s="1"/>
  <c r="C25" i="1"/>
  <c r="B25" i="1"/>
  <c r="A3" i="1"/>
  <c r="B9" i="2" l="1"/>
  <c r="M9" i="2"/>
  <c r="N9" i="2" s="1"/>
  <c r="K9" i="2"/>
  <c r="J9" i="2"/>
  <c r="I9" i="2"/>
  <c r="O9" i="2" s="1"/>
  <c r="C9" i="2"/>
  <c r="B17" i="2"/>
  <c r="M17" i="2"/>
  <c r="N17" i="2" s="1"/>
  <c r="K17" i="2"/>
  <c r="J17" i="2"/>
  <c r="I17" i="2"/>
  <c r="C17" i="2"/>
  <c r="I24" i="2"/>
  <c r="O24" i="2" s="1"/>
  <c r="C24" i="2"/>
  <c r="L24" i="2" s="1"/>
  <c r="B24" i="2"/>
  <c r="M24" i="2"/>
  <c r="J24" i="2"/>
  <c r="K24" i="2"/>
  <c r="I12" i="2"/>
  <c r="O12" i="2"/>
  <c r="B12" i="2"/>
  <c r="M12" i="2"/>
  <c r="N12" i="2" s="1"/>
  <c r="K12" i="2"/>
  <c r="J12" i="2"/>
  <c r="N24" i="2"/>
  <c r="C15" i="1"/>
  <c r="K15" i="1" s="1"/>
  <c r="L7" i="2"/>
  <c r="B13" i="2"/>
  <c r="M13" i="2"/>
  <c r="J13" i="2"/>
  <c r="I13" i="2"/>
  <c r="O13" i="2" s="1"/>
  <c r="C13" i="2"/>
  <c r="K13" i="2" s="1"/>
  <c r="I8" i="2"/>
  <c r="O8" i="2" s="1"/>
  <c r="B8" i="2"/>
  <c r="M8" i="2"/>
  <c r="K8" i="2"/>
  <c r="J8" i="2"/>
  <c r="A6" i="1" s="1"/>
  <c r="I16" i="2"/>
  <c r="B16" i="2"/>
  <c r="M16" i="2"/>
  <c r="K16" i="2"/>
  <c r="J16" i="2"/>
  <c r="C8" i="2"/>
  <c r="N13" i="2"/>
  <c r="C16" i="2"/>
  <c r="B30" i="1"/>
  <c r="N8" i="2"/>
  <c r="L11" i="2"/>
  <c r="N16" i="2"/>
  <c r="I20" i="2"/>
  <c r="O20" i="2" s="1"/>
  <c r="C20" i="2"/>
  <c r="B20" i="2"/>
  <c r="M20" i="2"/>
  <c r="N20" i="2" s="1"/>
  <c r="J20" i="2"/>
  <c r="N10" i="2"/>
  <c r="N14" i="2"/>
  <c r="N18" i="2"/>
  <c r="C21" i="2"/>
  <c r="N22" i="2"/>
  <c r="N34" i="2"/>
  <c r="J36" i="2"/>
  <c r="C37" i="2"/>
  <c r="N30" i="2"/>
  <c r="J32" i="2"/>
  <c r="C33" i="2"/>
  <c r="M7" i="2"/>
  <c r="F15" i="1" s="1"/>
  <c r="B10" i="2"/>
  <c r="O10" i="2"/>
  <c r="M11" i="2"/>
  <c r="B14" i="2"/>
  <c r="M15" i="2"/>
  <c r="N15" i="2" s="1"/>
  <c r="B18" i="2"/>
  <c r="M19" i="2"/>
  <c r="N19" i="2" s="1"/>
  <c r="I21" i="2"/>
  <c r="O21" i="2" s="1"/>
  <c r="B22" i="2"/>
  <c r="M23" i="2"/>
  <c r="I25" i="2"/>
  <c r="O25" i="2" s="1"/>
  <c r="B26" i="2"/>
  <c r="O26" i="2"/>
  <c r="M27" i="2"/>
  <c r="K28" i="2"/>
  <c r="I29" i="2"/>
  <c r="O29" i="2" s="1"/>
  <c r="B30" i="2"/>
  <c r="M31" i="2"/>
  <c r="N31" i="2" s="1"/>
  <c r="I33" i="2"/>
  <c r="O33" i="2" s="1"/>
  <c r="B34" i="2"/>
  <c r="O34" i="2"/>
  <c r="M35" i="2"/>
  <c r="K36" i="2"/>
  <c r="I37" i="2"/>
  <c r="C25" i="2"/>
  <c r="N26" i="2"/>
  <c r="N35" i="2"/>
  <c r="J37" i="2"/>
  <c r="C29" i="2"/>
  <c r="D25" i="1"/>
  <c r="D30" i="1" s="1"/>
  <c r="C10" i="2"/>
  <c r="N11" i="2"/>
  <c r="C14" i="2"/>
  <c r="C18" i="2"/>
  <c r="J21" i="2"/>
  <c r="C22" i="2"/>
  <c r="N23" i="2"/>
  <c r="J25" i="2"/>
  <c r="C26" i="2"/>
  <c r="N27" i="2"/>
  <c r="J29" i="2"/>
  <c r="C30" i="2"/>
  <c r="J33" i="2"/>
  <c r="C34" i="2"/>
  <c r="B7" i="2"/>
  <c r="I10" i="2"/>
  <c r="B11" i="2"/>
  <c r="O11" i="2"/>
  <c r="I14" i="2"/>
  <c r="O14" i="2" s="1"/>
  <c r="B15" i="2"/>
  <c r="O15" i="2"/>
  <c r="I18" i="2"/>
  <c r="B19" i="2"/>
  <c r="K21" i="2"/>
  <c r="I22" i="2"/>
  <c r="O22" i="2" s="1"/>
  <c r="B23" i="2"/>
  <c r="O23" i="2"/>
  <c r="I26" i="2"/>
  <c r="B27" i="2"/>
  <c r="M28" i="2"/>
  <c r="K29" i="2"/>
  <c r="I30" i="2"/>
  <c r="O30" i="2" s="1"/>
  <c r="B31" i="2"/>
  <c r="O31" i="2"/>
  <c r="M32" i="2"/>
  <c r="N32" i="2" s="1"/>
  <c r="I34" i="2"/>
  <c r="B35" i="2"/>
  <c r="M36" i="2"/>
  <c r="N36" i="2" s="1"/>
  <c r="K37" i="2"/>
  <c r="N28" i="2"/>
  <c r="J30" i="2"/>
  <c r="L37" i="2"/>
  <c r="J34" i="2"/>
  <c r="C35" i="2"/>
  <c r="K25" i="2" s="1"/>
  <c r="I7" i="2"/>
  <c r="O7" i="2" s="1"/>
  <c r="K10" i="2"/>
  <c r="I11" i="2"/>
  <c r="K14" i="2"/>
  <c r="I15" i="2"/>
  <c r="I19" i="2"/>
  <c r="M21" i="2"/>
  <c r="N21" i="2" s="1"/>
  <c r="K22" i="2"/>
  <c r="I23" i="2"/>
  <c r="M25" i="2"/>
  <c r="I27" i="2"/>
  <c r="O27" i="2" s="1"/>
  <c r="B28" i="2"/>
  <c r="O28" i="2"/>
  <c r="M29" i="2"/>
  <c r="N29" i="2" s="1"/>
  <c r="K30" i="2"/>
  <c r="I31" i="2"/>
  <c r="B32" i="2"/>
  <c r="O32" i="2"/>
  <c r="M33" i="2"/>
  <c r="N33" i="2" s="1"/>
  <c r="I35" i="2"/>
  <c r="O35" i="2" s="1"/>
  <c r="B36" i="2"/>
  <c r="O36" i="2"/>
  <c r="M37" i="2"/>
  <c r="N37" i="2"/>
  <c r="N25" i="2"/>
  <c r="L34" i="2"/>
  <c r="J35" i="2"/>
  <c r="C36" i="2"/>
  <c r="B21" i="2"/>
  <c r="B25" i="2"/>
  <c r="B29" i="2"/>
  <c r="B33" i="2"/>
  <c r="B37" i="2"/>
  <c r="G16" i="1" l="1"/>
  <c r="K34" i="2"/>
  <c r="K33" i="2"/>
  <c r="K20" i="2"/>
  <c r="G17" i="1"/>
  <c r="L22" i="2"/>
  <c r="N7" i="2"/>
  <c r="L31" i="2"/>
  <c r="K27" i="2"/>
  <c r="L16" i="2"/>
  <c r="O16" i="2" s="1"/>
  <c r="L28" i="2"/>
  <c r="L18" i="2"/>
  <c r="O18" i="2" s="1"/>
  <c r="L27" i="2"/>
  <c r="L13" i="2"/>
  <c r="C18" i="1"/>
  <c r="K18" i="1" s="1"/>
  <c r="G20" i="1"/>
  <c r="L26" i="2"/>
  <c r="L33" i="2"/>
  <c r="L25" i="2"/>
  <c r="D6" i="1"/>
  <c r="I6" i="1" s="1"/>
  <c r="G10" i="1"/>
  <c r="L29" i="2"/>
  <c r="L36" i="2"/>
  <c r="L35" i="2"/>
  <c r="B18" i="1"/>
  <c r="K11" i="2"/>
  <c r="C19" i="1"/>
  <c r="K19" i="1" s="1"/>
  <c r="F20" i="1"/>
  <c r="F17" i="1"/>
  <c r="B20" i="1"/>
  <c r="B17" i="1"/>
  <c r="C20" i="1"/>
  <c r="K20" i="1" s="1"/>
  <c r="A10" i="1"/>
  <c r="K32" i="2"/>
  <c r="L20" i="2"/>
  <c r="K19" i="2"/>
  <c r="B15" i="1"/>
  <c r="L17" i="2"/>
  <c r="O17" i="2" s="1"/>
  <c r="L9" i="2"/>
  <c r="B19" i="1"/>
  <c r="F16" i="1"/>
  <c r="L14" i="2"/>
  <c r="K18" i="2"/>
  <c r="L32" i="2"/>
  <c r="L10" i="2"/>
  <c r="L21" i="2"/>
  <c r="B16" i="1"/>
  <c r="L15" i="2"/>
  <c r="L8" i="2"/>
  <c r="L12" i="2"/>
  <c r="K26" i="2"/>
  <c r="L30" i="2"/>
  <c r="F18" i="1"/>
  <c r="L23" i="2"/>
  <c r="C16" i="1"/>
  <c r="K16" i="1" s="1"/>
  <c r="G18" i="1"/>
  <c r="L19" i="2"/>
  <c r="O19" i="2" s="1"/>
  <c r="C17" i="1"/>
  <c r="K17" i="1" s="1"/>
  <c r="G19" i="1"/>
  <c r="F19" i="1"/>
  <c r="I10" i="1" l="1"/>
  <c r="G6" i="1"/>
  <c r="E18" i="1"/>
  <c r="D18" i="1"/>
  <c r="J18" i="1"/>
  <c r="E16" i="1"/>
  <c r="D16" i="1"/>
  <c r="J16" i="1"/>
  <c r="D10" i="1"/>
  <c r="G15" i="1"/>
  <c r="E15" i="1"/>
  <c r="D15" i="1"/>
  <c r="J15" i="1"/>
  <c r="E19" i="1"/>
  <c r="D19" i="1"/>
  <c r="J19" i="1"/>
  <c r="E17" i="1"/>
  <c r="D17" i="1"/>
  <c r="J17" i="1"/>
  <c r="E20" i="1"/>
  <c r="D20" i="1"/>
  <c r="J20" i="1"/>
</calcChain>
</file>

<file path=xl/sharedStrings.xml><?xml version="1.0" encoding="utf-8"?>
<sst xmlns="http://schemas.openxmlformats.org/spreadsheetml/2006/main" count="221" uniqueCount="73">
  <si>
    <t>RESUMEN MENSUAL - VOLQUETAS</t>
  </si>
  <si>
    <t>META MENSUAL</t>
  </si>
  <si>
    <t>VIAJES REALIZADOS</t>
  </si>
  <si>
    <t>VIAJES PENDIENTES</t>
  </si>
  <si>
    <t>AVANCE DE META</t>
  </si>
  <si>
    <t>VALOR BRUTO</t>
  </si>
  <si>
    <t>MI GANANCIA (22%)</t>
  </si>
  <si>
    <t>DIAS TRABAJADOS</t>
  </si>
  <si>
    <t>PROMEDIO POR DIA</t>
  </si>
  <si>
    <t>RESUMEN POR SEMANA</t>
  </si>
  <si>
    <t>Semana</t>
  </si>
  <si>
    <t>Meta</t>
  </si>
  <si>
    <t>Realizados</t>
  </si>
  <si>
    <t>Pendientes</t>
  </si>
  <si>
    <t>% Cumplido</t>
  </si>
  <si>
    <t>Valor bruto</t>
  </si>
  <si>
    <t>Mi 22%</t>
  </si>
  <si>
    <t>Semana 1</t>
  </si>
  <si>
    <t>S1</t>
  </si>
  <si>
    <t>Semana 2</t>
  </si>
  <si>
    <t>S2</t>
  </si>
  <si>
    <t>Semana 3</t>
  </si>
  <si>
    <t>S3</t>
  </si>
  <si>
    <t>Semana 4</t>
  </si>
  <si>
    <t>S4</t>
  </si>
  <si>
    <t>Semana 5</t>
  </si>
  <si>
    <t>S5</t>
  </si>
  <si>
    <t>Semana 6</t>
  </si>
  <si>
    <t>S6</t>
  </si>
  <si>
    <t>DETALLE POR RUTA</t>
  </si>
  <si>
    <t>Ruta</t>
  </si>
  <si>
    <t>Viajes</t>
  </si>
  <si>
    <t>Tarifa</t>
  </si>
  <si>
    <t>Valor generado</t>
  </si>
  <si>
    <t>Rio a trituradora</t>
  </si>
  <si>
    <t>Rio a stock</t>
  </si>
  <si>
    <t>Stock a trituradora</t>
  </si>
  <si>
    <t>Trituradora a stock</t>
  </si>
  <si>
    <t>Stock a stock</t>
  </si>
  <si>
    <t>TOTAL</t>
  </si>
  <si>
    <t>Lectura rapida: si Viajes pendientes llega a 0, cumpliste la meta mensual. En Registro diario, Meta sugerida hoy indica cuantos viajes deberias hacer ese dia para mantenerte o recuperar el ritmo semanal.</t>
  </si>
  <si>
    <t>REGISTRO DIARIO DE VIAJES</t>
  </si>
  <si>
    <t>Meta: 20 viajes de lunes a jueves. Los viajes pendientes se distribuyen automaticamente entre viernes, sabado y domingo.</t>
  </si>
  <si>
    <t>Fecha</t>
  </si>
  <si>
    <t>Dia</t>
  </si>
  <si>
    <t>Total viajes</t>
  </si>
  <si>
    <t>Meta base L-J</t>
  </si>
  <si>
    <t>Meta sugerida hoy</t>
  </si>
  <si>
    <t>Faltan semana</t>
  </si>
  <si>
    <t>Estado</t>
  </si>
  <si>
    <t>Observaciones</t>
  </si>
  <si>
    <t>CONFIGURACION - CONTROL DE VOLQUETAS</t>
  </si>
  <si>
    <t>Cambia solamente las celdas amarillas con letra azul. El resto del archivo se actualiza automaticamente.</t>
  </si>
  <si>
    <t>PARAMETROS DEL MES</t>
  </si>
  <si>
    <t>Parametro</t>
  </si>
  <si>
    <t>Valor</t>
  </si>
  <si>
    <t>Año</t>
  </si>
  <si>
    <t>Mes (1 a 12)</t>
  </si>
  <si>
    <t>Meta diaria lunes a jueves</t>
  </si>
  <si>
    <t>Porcentaje para mi</t>
  </si>
  <si>
    <t>TARIFAS POR VIAJE</t>
  </si>
  <si>
    <t>Nota</t>
  </si>
  <si>
    <t>Valor segun relacion de viajes</t>
  </si>
  <si>
    <t>Valor por cada viaje</t>
  </si>
  <si>
    <t>Stock/STOP a trituradora</t>
  </si>
  <si>
    <t>Trituradora a stock/STOP</t>
  </si>
  <si>
    <t>Stock/STOP a stock/STOP</t>
  </si>
  <si>
    <t>COMO USAR EL ARCHIVO</t>
  </si>
  <si>
    <t>1. Selecciona el año y el mes en esta hoja.</t>
  </si>
  <si>
    <t>2. En Registro diario escribe la cantidad de viajes de cada ruta.</t>
  </si>
  <si>
    <t>3. La meta normal es de lunes a jueves; el atraso se reparte entre viernes, sabado y domingo.</t>
  </si>
  <si>
    <t>4. El valor bruto y tu 22% se calculan automaticamente.</t>
  </si>
  <si>
    <t>5. Revisa el avance semanal y mensual en la hoja Resumen.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</si>
</sst>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0.0%;[Red]\(0.0%\);\-"/>
    <numFmt numFmtId="166" formatCode="\$#,##0;[Red]\(\$#,##0\);\-"/>
    <numFmt numFmtId="167" formatCode="dd\-mmm\-yyyy"/>
    <numFmt numFmtId="168" formatCode="0.0"/>
  </numFmts>
  <fonts count="19">
    <font>
      <sz val="11"/>
      <name val="Carlito"/>
    </font>
    <font>
      <b/>
      <sz val="18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1"/>
      <color rgb="FF0000FF"/>
      <name val="Carlito"/>
    </font>
    <font>
      <sz val="10"/>
      <color rgb="FF1F2937"/>
      <name val="Carlito"/>
    </font>
    <font>
      <b/>
      <sz val="10"/>
      <color rgb="FF008000"/>
      <name val="Carlito"/>
    </font>
    <font>
      <b/>
      <sz val="10"/>
      <color rgb="FF17365D"/>
      <name val="Carlito"/>
    </font>
    <font>
      <b/>
      <sz val="9"/>
      <color rgb="FFFFFFFF"/>
      <name val="Carlito"/>
    </font>
    <font>
      <b/>
      <sz val="9"/>
      <color rgb="FF0000FF"/>
      <name val="Carlito"/>
    </font>
    <font>
      <sz val="9"/>
      <color rgb="FF0000FF"/>
      <name val="Carlito"/>
    </font>
    <font>
      <sz val="9"/>
      <color rgb="FF008000"/>
      <name val="Carlito"/>
    </font>
    <font>
      <sz val="9"/>
      <color rgb="FF000000"/>
      <name val="Carlito"/>
    </font>
    <font>
      <b/>
      <sz val="11"/>
      <color rgb="FF008000"/>
      <name val="Carlito"/>
    </font>
    <font>
      <b/>
      <sz val="16"/>
      <color rgb="FF008000"/>
      <name val="Carlito"/>
    </font>
    <font>
      <sz val="11"/>
      <color rgb="FF008000"/>
      <name val="Carlito"/>
    </font>
    <font>
      <sz val="1"/>
      <color rgb="FFFFFFFF"/>
      <name val="Carlito"/>
    </font>
    <font>
      <i/>
      <sz val="9"/>
      <color rgb="FF1F2937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3F8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17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  <diagonal/>
    </border>
    <border>
      <left style="medium">
        <color rgb="FFB7C9D6"/>
      </left>
      <right/>
      <top style="medium">
        <color rgb="FFB7C9D6"/>
      </top>
      <bottom/>
      <diagonal/>
    </border>
    <border>
      <left/>
      <right style="medium">
        <color rgb="FFB7C9D6"/>
      </right>
      <top style="medium">
        <color rgb="FFB7C9D6"/>
      </top>
      <bottom/>
      <diagonal/>
    </border>
    <border>
      <left style="medium">
        <color rgb="FFB7C9D6"/>
      </left>
      <right/>
      <top/>
      <bottom/>
      <diagonal/>
    </border>
    <border>
      <left/>
      <right style="medium">
        <color rgb="FFB7C9D6"/>
      </right>
      <top/>
      <bottom/>
      <diagonal/>
    </border>
    <border>
      <left style="medium">
        <color rgb="FFB7C9D6"/>
      </left>
      <right/>
      <top/>
      <bottom style="medium">
        <color rgb="FFB7C9D6"/>
      </bottom>
      <diagonal/>
    </border>
    <border>
      <left/>
      <right style="medium">
        <color rgb="FFB7C9D6"/>
      </right>
      <top/>
      <bottom style="medium">
        <color rgb="FFB7C9D6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4" fillId="5" borderId="1" xfId="0" applyFont="1" applyFill="1" applyBorder="1"/>
    <xf numFmtId="0" fontId="0" fillId="0" borderId="1" xfId="0" applyBorder="1"/>
    <xf numFmtId="164" fontId="5" fillId="6" borderId="1" xfId="0" applyNumberFormat="1" applyFont="1" applyFill="1" applyBorder="1"/>
    <xf numFmtId="165" fontId="5" fillId="6" borderId="1" xfId="0" applyNumberFormat="1" applyFont="1" applyFill="1" applyBorder="1"/>
    <xf numFmtId="166" fontId="5" fillId="6" borderId="1" xfId="0" applyNumberFormat="1" applyFont="1" applyFill="1" applyBorder="1"/>
    <xf numFmtId="0" fontId="9" fillId="2" borderId="0" xfId="0" applyFont="1" applyFill="1" applyAlignment="1">
      <alignment horizontal="center" vertical="center" wrapText="1"/>
    </xf>
    <xf numFmtId="0" fontId="11" fillId="6" borderId="10" xfId="0" applyFont="1" applyFill="1" applyBorder="1"/>
    <xf numFmtId="0" fontId="12" fillId="0" borderId="10" xfId="0" applyFont="1" applyBorder="1"/>
    <xf numFmtId="0" fontId="13" fillId="0" borderId="10" xfId="0" applyFont="1" applyBorder="1"/>
    <xf numFmtId="167" fontId="12" fillId="0" borderId="10" xfId="0" applyNumberFormat="1" applyFont="1" applyBorder="1"/>
    <xf numFmtId="164" fontId="12" fillId="0" borderId="10" xfId="0" applyNumberFormat="1" applyFont="1" applyBorder="1"/>
    <xf numFmtId="164" fontId="10" fillId="3" borderId="10" xfId="0" applyNumberFormat="1" applyFont="1" applyFill="1" applyBorder="1"/>
    <xf numFmtId="164" fontId="13" fillId="0" borderId="10" xfId="0" applyNumberFormat="1" applyFont="1" applyBorder="1"/>
    <xf numFmtId="166" fontId="13" fillId="0" borderId="10" xfId="0" applyNumberFormat="1" applyFont="1" applyBorder="1"/>
    <xf numFmtId="0" fontId="9" fillId="2" borderId="1" xfId="0" applyFont="1" applyFill="1" applyBorder="1"/>
    <xf numFmtId="0" fontId="4" fillId="10" borderId="1" xfId="0" applyFont="1" applyFill="1" applyBorder="1"/>
    <xf numFmtId="164" fontId="16" fillId="0" borderId="1" xfId="0" applyNumberFormat="1" applyFont="1" applyBorder="1"/>
    <xf numFmtId="165" fontId="16" fillId="0" borderId="1" xfId="0" applyNumberFormat="1" applyFont="1" applyBorder="1"/>
    <xf numFmtId="166" fontId="16" fillId="0" borderId="1" xfId="0" applyNumberFormat="1" applyFont="1" applyBorder="1"/>
    <xf numFmtId="0" fontId="3" fillId="2" borderId="1" xfId="0" applyFont="1" applyFill="1" applyBorder="1"/>
    <xf numFmtId="164" fontId="14" fillId="5" borderId="1" xfId="0" applyNumberFormat="1" applyFont="1" applyFill="1" applyBorder="1"/>
    <xf numFmtId="166" fontId="14" fillId="5" borderId="1" xfId="0" applyNumberFormat="1" applyFont="1" applyFill="1" applyBorder="1"/>
    <xf numFmtId="0" fontId="17" fillId="7" borderId="0" xfId="0" applyFont="1" applyFill="1"/>
    <xf numFmtId="0" fontId="1" fillId="2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12" xfId="0" applyFont="1" applyFill="1" applyBorder="1" applyAlignment="1">
      <alignment horizontal="center"/>
    </xf>
    <xf numFmtId="164" fontId="15" fillId="7" borderId="13" xfId="0" applyNumberFormat="1" applyFont="1" applyFill="1" applyBorder="1" applyAlignment="1">
      <alignment horizontal="center" vertical="center"/>
    </xf>
    <xf numFmtId="164" fontId="15" fillId="7" borderId="14" xfId="0" applyNumberFormat="1" applyFont="1" applyFill="1" applyBorder="1" applyAlignment="1">
      <alignment horizontal="center" vertical="center"/>
    </xf>
    <xf numFmtId="164" fontId="15" fillId="7" borderId="15" xfId="0" applyNumberFormat="1" applyFont="1" applyFill="1" applyBorder="1" applyAlignment="1">
      <alignment horizontal="center" vertical="center"/>
    </xf>
    <xf numFmtId="164" fontId="15" fillId="7" borderId="16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/>
    </xf>
    <xf numFmtId="0" fontId="8" fillId="8" borderId="12" xfId="0" applyFont="1" applyFill="1" applyBorder="1" applyAlignment="1">
      <alignment horizontal="center"/>
    </xf>
    <xf numFmtId="0" fontId="8" fillId="9" borderId="11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6" borderId="11" xfId="0" applyFont="1" applyFill="1" applyBorder="1" applyAlignment="1">
      <alignment horizontal="center"/>
    </xf>
    <xf numFmtId="0" fontId="8" fillId="6" borderId="12" xfId="0" applyFont="1" applyFill="1" applyBorder="1" applyAlignment="1">
      <alignment horizontal="center"/>
    </xf>
    <xf numFmtId="165" fontId="15" fillId="7" borderId="13" xfId="0" applyNumberFormat="1" applyFont="1" applyFill="1" applyBorder="1" applyAlignment="1">
      <alignment horizontal="center" vertical="center"/>
    </xf>
    <xf numFmtId="165" fontId="15" fillId="7" borderId="14" xfId="0" applyNumberFormat="1" applyFont="1" applyFill="1" applyBorder="1" applyAlignment="1">
      <alignment horizontal="center" vertical="center"/>
    </xf>
    <xf numFmtId="165" fontId="15" fillId="7" borderId="15" xfId="0" applyNumberFormat="1" applyFont="1" applyFill="1" applyBorder="1" applyAlignment="1">
      <alignment horizontal="center" vertical="center"/>
    </xf>
    <xf numFmtId="165" fontId="15" fillId="7" borderId="16" xfId="0" applyNumberFormat="1" applyFont="1" applyFill="1" applyBorder="1" applyAlignment="1">
      <alignment horizontal="center" vertical="center"/>
    </xf>
    <xf numFmtId="166" fontId="15" fillId="7" borderId="13" xfId="0" applyNumberFormat="1" applyFont="1" applyFill="1" applyBorder="1" applyAlignment="1">
      <alignment horizontal="center" vertical="center"/>
    </xf>
    <xf numFmtId="166" fontId="15" fillId="7" borderId="14" xfId="0" applyNumberFormat="1" applyFont="1" applyFill="1" applyBorder="1" applyAlignment="1">
      <alignment horizontal="center" vertical="center"/>
    </xf>
    <xf numFmtId="166" fontId="15" fillId="7" borderId="15" xfId="0" applyNumberFormat="1" applyFont="1" applyFill="1" applyBorder="1" applyAlignment="1">
      <alignment horizontal="center" vertical="center"/>
    </xf>
    <xf numFmtId="166" fontId="15" fillId="7" borderId="16" xfId="0" applyNumberFormat="1" applyFont="1" applyFill="1" applyBorder="1" applyAlignment="1">
      <alignment horizontal="center" vertical="center"/>
    </xf>
    <xf numFmtId="168" fontId="15" fillId="7" borderId="13" xfId="0" applyNumberFormat="1" applyFont="1" applyFill="1" applyBorder="1" applyAlignment="1">
      <alignment horizontal="center" vertical="center"/>
    </xf>
    <xf numFmtId="168" fontId="15" fillId="7" borderId="14" xfId="0" applyNumberFormat="1" applyFont="1" applyFill="1" applyBorder="1" applyAlignment="1">
      <alignment horizontal="center" vertical="center"/>
    </xf>
    <xf numFmtId="168" fontId="15" fillId="7" borderId="15" xfId="0" applyNumberFormat="1" applyFont="1" applyFill="1" applyBorder="1" applyAlignment="1">
      <alignment horizontal="center" vertical="center"/>
    </xf>
    <xf numFmtId="168" fontId="15" fillId="7" borderId="16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18" fillId="3" borderId="2" xfId="0" applyFont="1" applyFill="1" applyBorder="1" applyAlignment="1">
      <alignment wrapText="1"/>
    </xf>
    <xf numFmtId="0" fontId="18" fillId="3" borderId="3" xfId="0" applyFont="1" applyFill="1" applyBorder="1" applyAlignment="1">
      <alignment wrapText="1"/>
    </xf>
    <xf numFmtId="0" fontId="18" fillId="3" borderId="4" xfId="0" applyFont="1" applyFill="1" applyBorder="1" applyAlignment="1">
      <alignment wrapText="1"/>
    </xf>
    <xf numFmtId="0" fontId="18" fillId="3" borderId="7" xfId="0" applyFont="1" applyFill="1" applyBorder="1" applyAlignment="1">
      <alignment wrapText="1"/>
    </xf>
    <xf numFmtId="0" fontId="18" fillId="3" borderId="8" xfId="0" applyFont="1" applyFill="1" applyBorder="1" applyAlignment="1">
      <alignment wrapText="1"/>
    </xf>
    <xf numFmtId="0" fontId="18" fillId="3" borderId="9" xfId="0" applyFont="1" applyFill="1" applyBorder="1" applyAlignment="1">
      <alignment wrapText="1"/>
    </xf>
    <xf numFmtId="0" fontId="7" fillId="3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2" fillId="3" borderId="0" xfId="0" applyFont="1" applyFill="1" applyAlignment="1">
      <alignment wrapText="1"/>
    </xf>
    <xf numFmtId="0" fontId="6" fillId="7" borderId="2" xfId="0" applyFont="1" applyFill="1" applyBorder="1" applyAlignment="1">
      <alignment wrapText="1"/>
    </xf>
    <xf numFmtId="0" fontId="6" fillId="7" borderId="3" xfId="0" applyFont="1" applyFill="1" applyBorder="1" applyAlignment="1">
      <alignment wrapText="1"/>
    </xf>
    <xf numFmtId="0" fontId="6" fillId="7" borderId="4" xfId="0" applyFont="1" applyFill="1" applyBorder="1" applyAlignment="1">
      <alignment wrapText="1"/>
    </xf>
    <xf numFmtId="0" fontId="6" fillId="7" borderId="5" xfId="0" applyFont="1" applyFill="1" applyBorder="1" applyAlignment="1">
      <alignment wrapText="1"/>
    </xf>
    <xf numFmtId="0" fontId="6" fillId="7" borderId="0" xfId="0" applyFont="1" applyFill="1" applyAlignment="1">
      <alignment wrapText="1"/>
    </xf>
    <xf numFmtId="0" fontId="6" fillId="7" borderId="6" xfId="0" applyFont="1" applyFill="1" applyBorder="1" applyAlignment="1">
      <alignment wrapText="1"/>
    </xf>
    <xf numFmtId="0" fontId="6" fillId="7" borderId="7" xfId="0" applyFont="1" applyFill="1" applyBorder="1" applyAlignment="1">
      <alignment wrapText="1"/>
    </xf>
    <xf numFmtId="0" fontId="6" fillId="7" borderId="8" xfId="0" applyFont="1" applyFill="1" applyBorder="1" applyAlignment="1">
      <alignment wrapText="1"/>
    </xf>
    <xf numFmtId="0" fontId="6" fillId="7" borderId="9" xfId="0" applyFont="1" applyFill="1" applyBorder="1" applyAlignment="1">
      <alignment wrapText="1"/>
    </xf>
  </cellXfs>
  <cellStyles count="1">
    <cellStyle name="Normal" xfId="0" builtinId="0"/>
  </cellStyles>
  <dxfs count="4"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C00000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CO" sz="900"/>
              <a:t>Meta vs viajes realizados por semana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Meta</c:v>
          </c:tx>
          <c:spPr>
            <a:ln w="19050">
              <a:solidFill>
                <a:srgbClr val="F4B183"/>
              </a:solidFill>
            </a:ln>
          </c:spPr>
          <c:cat>
            <c:strRef>
              <c:f>Resumen!$I$15:$I$20</c:f>
              <c:strCache>
                <c:ptCount val="6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  <c:pt idx="4">
                  <c:v>S5</c:v>
                </c:pt>
                <c:pt idx="5">
                  <c:v>S6</c:v>
                </c:pt>
              </c:strCache>
            </c:strRef>
          </c:cat>
          <c:val>
            <c:numRef>
              <c:f>Resumen!$J$15:$J$20</c:f>
              <c:numCache>
                <c:formatCode>General</c:formatCode>
                <c:ptCount val="6"/>
                <c:pt idx="0">
                  <c:v>80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40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A4-AA40-A153-601E02914688}"/>
            </c:ext>
          </c:extLst>
        </c:ser>
        <c:ser>
          <c:idx val="1"/>
          <c:order val="1"/>
          <c:tx>
            <c:v>Realizados</c:v>
          </c:tx>
          <c:spPr>
            <a:ln w="19050">
              <a:solidFill>
                <a:srgbClr val="2F75B5"/>
              </a:solidFill>
            </a:ln>
          </c:spPr>
          <c:cat>
            <c:strRef>
              <c:f>Resumen!$I$15:$I$20</c:f>
              <c:strCache>
                <c:ptCount val="6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  <c:pt idx="4">
                  <c:v>S5</c:v>
                </c:pt>
                <c:pt idx="5">
                  <c:v>S6</c:v>
                </c:pt>
              </c:strCache>
            </c:strRef>
          </c:cat>
          <c:val>
            <c:numRef>
              <c:f>Resumen!$K$15:$K$20</c:f>
              <c:numCache>
                <c:formatCode>General</c:formatCode>
                <c:ptCount val="6"/>
                <c:pt idx="0">
                  <c:v>0</c:v>
                </c:pt>
                <c:pt idx="1">
                  <c:v>49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A4-AA40-A153-601E02914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16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Viajes" displayName="TablaViajes" ref="A6:P37">
  <tableColumns count="16">
    <tableColumn id="1" xr3:uid="{00000000-0010-0000-0000-000001000000}" name="Fecha"/>
    <tableColumn id="2" xr3:uid="{00000000-0010-0000-0000-000002000000}" name="Dia"/>
    <tableColumn id="3" xr3:uid="{00000000-0010-0000-0000-000003000000}" name="Semana"/>
    <tableColumn id="4" xr3:uid="{00000000-0010-0000-0000-000004000000}" name="Rio a trituradora"/>
    <tableColumn id="5" xr3:uid="{00000000-0010-0000-0000-000005000000}" name="Rio a stock"/>
    <tableColumn id="6" xr3:uid="{00000000-0010-0000-0000-000006000000}" name="Stock a trituradora"/>
    <tableColumn id="7" xr3:uid="{00000000-0010-0000-0000-000007000000}" name="Trituradora a stock"/>
    <tableColumn id="8" xr3:uid="{00000000-0010-0000-0000-000008000000}" name="Stock a stock"/>
    <tableColumn id="9" xr3:uid="{00000000-0010-0000-0000-000009000000}" name="Total viajes"/>
    <tableColumn id="10" xr3:uid="{00000000-0010-0000-0000-00000A000000}" name="Meta base L-J"/>
    <tableColumn id="11" xr3:uid="{00000000-0010-0000-0000-00000B000000}" name="Meta sugerida hoy"/>
    <tableColumn id="12" xr3:uid="{00000000-0010-0000-0000-00000C000000}" name="Faltan semana"/>
    <tableColumn id="13" xr3:uid="{00000000-0010-0000-0000-00000D000000}" name="Valor bruto"/>
    <tableColumn id="14" xr3:uid="{00000000-0010-0000-0000-00000E000000}" name="Mi 22%"/>
    <tableColumn id="15" xr3:uid="{00000000-0010-0000-0000-00000F000000}" name="Estado"/>
    <tableColumn id="16" xr3:uid="{00000000-0010-0000-0000-000010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showGridLines="0" tabSelected="1" topLeftCell="A3" workbookViewId="0">
      <selection activeCell="E15" sqref="E15"/>
    </sheetView>
  </sheetViews>
  <sheetFormatPr baseColWidth="10" defaultColWidth="8.83203125" defaultRowHeight="15"/>
  <cols>
    <col min="1" max="1" width="19" customWidth="1"/>
    <col min="2" max="2" width="14" customWidth="1"/>
    <col min="3" max="3" width="13" customWidth="1"/>
    <col min="4" max="4" width="19" customWidth="1"/>
    <col min="5" max="6" width="14" customWidth="1"/>
    <col min="7" max="7" width="19" customWidth="1"/>
    <col min="8" max="8" width="14" customWidth="1"/>
    <col min="9" max="9" width="12" customWidth="1"/>
    <col min="10" max="16" width="14" customWidth="1"/>
  </cols>
  <sheetData>
    <row r="1" spans="1:11" ht="34" customHeight="1">
      <c r="A1" s="24" t="s">
        <v>0</v>
      </c>
      <c r="B1" s="24" t="s">
        <v>0</v>
      </c>
      <c r="C1" s="24" t="s">
        <v>0</v>
      </c>
      <c r="D1" s="24" t="s">
        <v>0</v>
      </c>
      <c r="E1" s="24" t="s">
        <v>0</v>
      </c>
      <c r="F1" s="24" t="s">
        <v>0</v>
      </c>
      <c r="G1" s="24" t="s">
        <v>0</v>
      </c>
      <c r="H1" s="24" t="s">
        <v>0</v>
      </c>
      <c r="I1" s="24" t="s">
        <v>0</v>
      </c>
      <c r="J1" s="24" t="s">
        <v>0</v>
      </c>
    </row>
    <row r="2" spans="1:11" ht="34" customHeight="1">
      <c r="A2" s="24" t="s">
        <v>0</v>
      </c>
      <c r="B2" s="24" t="s">
        <v>0</v>
      </c>
      <c r="C2" s="24" t="s">
        <v>0</v>
      </c>
      <c r="D2" s="24" t="s">
        <v>0</v>
      </c>
      <c r="E2" s="24" t="s">
        <v>0</v>
      </c>
      <c r="F2" s="24" t="s">
        <v>0</v>
      </c>
      <c r="G2" s="24" t="s">
        <v>0</v>
      </c>
      <c r="H2" s="24" t="s">
        <v>0</v>
      </c>
      <c r="I2" s="24" t="s">
        <v>0</v>
      </c>
      <c r="J2" s="24" t="s">
        <v>0</v>
      </c>
    </row>
    <row r="3" spans="1:11" ht="24" customHeight="1">
      <c r="A3" s="25" t="str">
        <f>"Periodo: "&amp;CHOOSE(Configuracion!$B$8,"Enero","Febrero","Marzo","Abril","Mayo","Junio","Julio","Agosto","Septiembre","Octubre","Noviembre","Diciembre")&amp;" "&amp;Configuracion!$B$7</f>
        <v>Periodo: Junio 2026</v>
      </c>
      <c r="B3" s="25"/>
      <c r="C3" s="25"/>
      <c r="D3" s="25"/>
      <c r="E3" s="25"/>
      <c r="F3" s="25"/>
      <c r="G3" s="25"/>
      <c r="H3" s="25"/>
      <c r="I3" s="25"/>
      <c r="J3" s="25"/>
    </row>
    <row r="5" spans="1:11">
      <c r="A5" s="26" t="s">
        <v>1</v>
      </c>
      <c r="B5" s="27" t="s">
        <v>1</v>
      </c>
      <c r="D5" s="32" t="s">
        <v>2</v>
      </c>
      <c r="E5" s="33" t="s">
        <v>2</v>
      </c>
      <c r="G5" s="34" t="s">
        <v>3</v>
      </c>
      <c r="H5" s="35" t="s">
        <v>3</v>
      </c>
      <c r="I5" s="36" t="s">
        <v>4</v>
      </c>
      <c r="J5" s="37" t="s">
        <v>4</v>
      </c>
    </row>
    <row r="6" spans="1:11">
      <c r="A6" s="28">
        <f>SUM('Registro diario'!$J$7:$J$37)</f>
        <v>360</v>
      </c>
      <c r="B6" s="29"/>
      <c r="D6" s="28">
        <f>SUM('Registro diario'!$I$7:$I$37)</f>
        <v>49</v>
      </c>
      <c r="E6" s="29"/>
      <c r="G6" s="28">
        <f>MAX(0,A6-D6)</f>
        <v>311</v>
      </c>
      <c r="H6" s="29"/>
      <c r="I6" s="38">
        <f>IF(A6=0,0,D6/A6)</f>
        <v>0.1361111111111111</v>
      </c>
      <c r="J6" s="39"/>
    </row>
    <row r="7" spans="1:11">
      <c r="A7" s="30"/>
      <c r="B7" s="31"/>
      <c r="D7" s="30"/>
      <c r="E7" s="31"/>
      <c r="G7" s="30"/>
      <c r="H7" s="31"/>
      <c r="I7" s="40"/>
      <c r="J7" s="41"/>
    </row>
    <row r="9" spans="1:11">
      <c r="A9" s="26" t="s">
        <v>5</v>
      </c>
      <c r="B9" s="27" t="s">
        <v>5</v>
      </c>
      <c r="D9" s="32" t="s">
        <v>6</v>
      </c>
      <c r="E9" s="33" t="s">
        <v>6</v>
      </c>
      <c r="G9" s="34" t="s">
        <v>7</v>
      </c>
      <c r="H9" s="35" t="s">
        <v>7</v>
      </c>
      <c r="I9" s="36" t="s">
        <v>8</v>
      </c>
      <c r="J9" s="37" t="s">
        <v>8</v>
      </c>
    </row>
    <row r="10" spans="1:11">
      <c r="A10" s="42">
        <f>SUM('Registro diario'!$M$7:$M$37)</f>
        <v>1528000</v>
      </c>
      <c r="B10" s="43"/>
      <c r="D10" s="42">
        <f>SUM('Registro diario'!$N$7:$N$37)</f>
        <v>336160</v>
      </c>
      <c r="E10" s="43"/>
      <c r="G10" s="28">
        <f>COUNTIF('Registro diario'!$I$7:$I$37,"&gt;0")</f>
        <v>4</v>
      </c>
      <c r="H10" s="29"/>
      <c r="I10" s="46">
        <f>IF(G10=0,0,D6/G10)</f>
        <v>12.25</v>
      </c>
      <c r="J10" s="47"/>
    </row>
    <row r="11" spans="1:11">
      <c r="A11" s="44"/>
      <c r="B11" s="45"/>
      <c r="D11" s="44"/>
      <c r="E11" s="45"/>
      <c r="G11" s="30"/>
      <c r="H11" s="31"/>
      <c r="I11" s="48"/>
      <c r="J11" s="49"/>
    </row>
    <row r="13" spans="1:11" ht="24" customHeight="1">
      <c r="A13" s="50" t="s">
        <v>9</v>
      </c>
      <c r="B13" s="50" t="s">
        <v>9</v>
      </c>
      <c r="C13" s="50" t="s">
        <v>9</v>
      </c>
      <c r="D13" s="50" t="s">
        <v>9</v>
      </c>
      <c r="E13" s="50" t="s">
        <v>9</v>
      </c>
      <c r="F13" s="50" t="s">
        <v>9</v>
      </c>
      <c r="G13" s="50" t="s">
        <v>9</v>
      </c>
    </row>
    <row r="14" spans="1:11">
      <c r="A14" s="15" t="s">
        <v>10</v>
      </c>
      <c r="B14" s="15" t="s">
        <v>11</v>
      </c>
      <c r="C14" s="15" t="s">
        <v>12</v>
      </c>
      <c r="D14" s="15" t="s">
        <v>13</v>
      </c>
      <c r="E14" s="15" t="s">
        <v>14</v>
      </c>
      <c r="F14" s="15" t="s">
        <v>15</v>
      </c>
      <c r="G14" s="15" t="s">
        <v>16</v>
      </c>
      <c r="I14" s="23" t="s">
        <v>10</v>
      </c>
      <c r="J14" s="23" t="s">
        <v>11</v>
      </c>
      <c r="K14" s="23" t="s">
        <v>12</v>
      </c>
    </row>
    <row r="15" spans="1:11">
      <c r="A15" s="16" t="s">
        <v>17</v>
      </c>
      <c r="B15" s="17">
        <f>SUMIF('Registro diario'!$C$7:$C$37,1,'Registro diario'!$J$7:$J$37)</f>
        <v>80</v>
      </c>
      <c r="C15" s="17">
        <f>SUMIF('Registro diario'!$C$7:$C$37,1,'Registro diario'!$I$7:$I$37)</f>
        <v>0</v>
      </c>
      <c r="D15" s="17">
        <f t="shared" ref="D15:D20" si="0">MAX(0,B15-C15)</f>
        <v>80</v>
      </c>
      <c r="E15" s="18">
        <f t="shared" ref="E15:E20" si="1">IF(B15=0,"",C15/B15)</f>
        <v>0</v>
      </c>
      <c r="F15" s="19">
        <f>SUMIF('Registro diario'!$C$7:$C$37,1,'Registro diario'!$M$7:$M$37)</f>
        <v>0</v>
      </c>
      <c r="G15" s="19">
        <f>SUMIF('Registro diario'!$C$7:$C$37,1,'Registro diario'!$N$7:$N$37)</f>
        <v>0</v>
      </c>
      <c r="I15" s="23" t="s">
        <v>18</v>
      </c>
      <c r="J15" s="23">
        <f t="shared" ref="J15:K20" si="2">B15</f>
        <v>80</v>
      </c>
      <c r="K15" s="23">
        <f t="shared" si="2"/>
        <v>0</v>
      </c>
    </row>
    <row r="16" spans="1:11">
      <c r="A16" s="16" t="s">
        <v>19</v>
      </c>
      <c r="B16" s="17">
        <f>SUMIF('Registro diario'!$C$7:$C$37,2,'Registro diario'!$J$7:$J$37)</f>
        <v>80</v>
      </c>
      <c r="C16" s="17">
        <f>SUMIF('Registro diario'!$C$7:$C$37,2,'Registro diario'!$I$7:$I$37)</f>
        <v>49</v>
      </c>
      <c r="D16" s="17">
        <f t="shared" si="0"/>
        <v>31</v>
      </c>
      <c r="E16" s="18">
        <f t="shared" si="1"/>
        <v>0.61250000000000004</v>
      </c>
      <c r="F16" s="19">
        <f>SUMIF('Registro diario'!$C$7:$C$37,2,'Registro diario'!$M$7:$M$37)</f>
        <v>1528000</v>
      </c>
      <c r="G16" s="19">
        <f>SUMIF('Registro diario'!$C$7:$C$37,2,'Registro diario'!$N$7:$N$37)</f>
        <v>336160</v>
      </c>
      <c r="I16" s="23" t="s">
        <v>20</v>
      </c>
      <c r="J16" s="23">
        <f t="shared" si="2"/>
        <v>80</v>
      </c>
      <c r="K16" s="23">
        <f t="shared" si="2"/>
        <v>49</v>
      </c>
    </row>
    <row r="17" spans="1:11">
      <c r="A17" s="16" t="s">
        <v>21</v>
      </c>
      <c r="B17" s="17">
        <f>SUMIF('Registro diario'!$C$7:$C$37,3,'Registro diario'!$J$7:$J$37)</f>
        <v>80</v>
      </c>
      <c r="C17" s="17">
        <f>SUMIF('Registro diario'!$C$7:$C$37,3,'Registro diario'!$I$7:$I$37)</f>
        <v>0</v>
      </c>
      <c r="D17" s="17">
        <f t="shared" si="0"/>
        <v>80</v>
      </c>
      <c r="E17" s="18">
        <f t="shared" si="1"/>
        <v>0</v>
      </c>
      <c r="F17" s="19">
        <f>SUMIF('Registro diario'!$C$7:$C$37,3,'Registro diario'!$M$7:$M$37)</f>
        <v>0</v>
      </c>
      <c r="G17" s="19">
        <f>SUMIF('Registro diario'!$C$7:$C$37,3,'Registro diario'!$N$7:$N$37)</f>
        <v>0</v>
      </c>
      <c r="I17" s="23" t="s">
        <v>22</v>
      </c>
      <c r="J17" s="23">
        <f t="shared" si="2"/>
        <v>80</v>
      </c>
      <c r="K17" s="23">
        <f t="shared" si="2"/>
        <v>0</v>
      </c>
    </row>
    <row r="18" spans="1:11">
      <c r="A18" s="16" t="s">
        <v>23</v>
      </c>
      <c r="B18" s="17">
        <f>SUMIF('Registro diario'!$C$7:$C$37,4,'Registro diario'!$J$7:$J$37)</f>
        <v>80</v>
      </c>
      <c r="C18" s="17">
        <f>SUMIF('Registro diario'!$C$7:$C$37,4,'Registro diario'!$I$7:$I$37)</f>
        <v>0</v>
      </c>
      <c r="D18" s="17">
        <f t="shared" si="0"/>
        <v>80</v>
      </c>
      <c r="E18" s="18">
        <f t="shared" si="1"/>
        <v>0</v>
      </c>
      <c r="F18" s="19">
        <f>SUMIF('Registro diario'!$C$7:$C$37,4,'Registro diario'!$M$7:$M$37)</f>
        <v>0</v>
      </c>
      <c r="G18" s="19">
        <f>SUMIF('Registro diario'!$C$7:$C$37,4,'Registro diario'!$N$7:$N$37)</f>
        <v>0</v>
      </c>
      <c r="I18" s="23" t="s">
        <v>24</v>
      </c>
      <c r="J18" s="23">
        <f t="shared" si="2"/>
        <v>80</v>
      </c>
      <c r="K18" s="23">
        <f t="shared" si="2"/>
        <v>0</v>
      </c>
    </row>
    <row r="19" spans="1:11">
      <c r="A19" s="16" t="s">
        <v>25</v>
      </c>
      <c r="B19" s="17">
        <f>SUMIF('Registro diario'!$C$7:$C$37,5,'Registro diario'!$J$7:$J$37)</f>
        <v>40</v>
      </c>
      <c r="C19" s="17">
        <f>SUMIF('Registro diario'!$C$7:$C$37,5,'Registro diario'!$I$7:$I$37)</f>
        <v>0</v>
      </c>
      <c r="D19" s="17">
        <f t="shared" si="0"/>
        <v>40</v>
      </c>
      <c r="E19" s="18">
        <f t="shared" si="1"/>
        <v>0</v>
      </c>
      <c r="F19" s="19">
        <f>SUMIF('Registro diario'!$C$7:$C$37,5,'Registro diario'!$M$7:$M$37)</f>
        <v>0</v>
      </c>
      <c r="G19" s="19">
        <f>SUMIF('Registro diario'!$C$7:$C$37,5,'Registro diario'!$N$7:$N$37)</f>
        <v>0</v>
      </c>
      <c r="I19" s="23" t="s">
        <v>26</v>
      </c>
      <c r="J19" s="23">
        <f t="shared" si="2"/>
        <v>40</v>
      </c>
      <c r="K19" s="23">
        <f t="shared" si="2"/>
        <v>0</v>
      </c>
    </row>
    <row r="20" spans="1:11">
      <c r="A20" s="16" t="s">
        <v>27</v>
      </c>
      <c r="B20" s="17">
        <f>SUMIF('Registro diario'!$C$7:$C$37,6,'Registro diario'!$J$7:$J$37)</f>
        <v>0</v>
      </c>
      <c r="C20" s="17">
        <f>SUMIF('Registro diario'!$C$7:$C$37,6,'Registro diario'!$I$7:$I$37)</f>
        <v>0</v>
      </c>
      <c r="D20" s="17">
        <f t="shared" si="0"/>
        <v>0</v>
      </c>
      <c r="E20" s="18" t="str">
        <f t="shared" si="1"/>
        <v/>
      </c>
      <c r="F20" s="19">
        <f>SUMIF('Registro diario'!$C$7:$C$37,6,'Registro diario'!$M$7:$M$37)</f>
        <v>0</v>
      </c>
      <c r="G20" s="19">
        <f>SUMIF('Registro diario'!$C$7:$C$37,6,'Registro diario'!$N$7:$N$37)</f>
        <v>0</v>
      </c>
      <c r="I20" s="23" t="s">
        <v>28</v>
      </c>
      <c r="J20" s="23">
        <f t="shared" si="2"/>
        <v>0</v>
      </c>
      <c r="K20" s="23">
        <f t="shared" si="2"/>
        <v>0</v>
      </c>
    </row>
    <row r="23" spans="1:11" ht="24" customHeight="1">
      <c r="A23" s="50" t="s">
        <v>29</v>
      </c>
      <c r="B23" s="50" t="s">
        <v>29</v>
      </c>
      <c r="C23" s="50" t="s">
        <v>29</v>
      </c>
      <c r="D23" s="50" t="s">
        <v>29</v>
      </c>
      <c r="E23" s="50" t="s">
        <v>29</v>
      </c>
      <c r="F23" s="50" t="s">
        <v>29</v>
      </c>
      <c r="G23" s="50" t="s">
        <v>29</v>
      </c>
    </row>
    <row r="24" spans="1:11">
      <c r="A24" s="20" t="s">
        <v>30</v>
      </c>
      <c r="B24" s="20" t="s">
        <v>31</v>
      </c>
      <c r="C24" s="20" t="s">
        <v>32</v>
      </c>
      <c r="D24" s="20" t="s">
        <v>33</v>
      </c>
    </row>
    <row r="25" spans="1:11">
      <c r="A25" s="2" t="s">
        <v>34</v>
      </c>
      <c r="B25" s="17">
        <f>SUM('Registro diario'!$D$7:$D$37)</f>
        <v>45</v>
      </c>
      <c r="C25" s="19">
        <f>Configuracion!$B$14</f>
        <v>32000</v>
      </c>
      <c r="D25" s="19">
        <f>B25*C25</f>
        <v>1440000</v>
      </c>
    </row>
    <row r="26" spans="1:11">
      <c r="A26" s="2" t="s">
        <v>35</v>
      </c>
      <c r="B26" s="17">
        <f>SUM('Registro diario'!$E$7:$E$37)</f>
        <v>2</v>
      </c>
      <c r="C26" s="19">
        <f>Configuracion!$B$15</f>
        <v>30000</v>
      </c>
      <c r="D26" s="19">
        <f>B26*C26</f>
        <v>60000</v>
      </c>
    </row>
    <row r="27" spans="1:11">
      <c r="A27" s="2" t="s">
        <v>36</v>
      </c>
      <c r="B27" s="17">
        <f>SUM('Registro diario'!$F$7:$F$37)</f>
        <v>1</v>
      </c>
      <c r="C27" s="19">
        <f>Configuracion!$B$16</f>
        <v>16000</v>
      </c>
      <c r="D27" s="19">
        <f>B27*C27</f>
        <v>16000</v>
      </c>
    </row>
    <row r="28" spans="1:11">
      <c r="A28" s="2" t="s">
        <v>37</v>
      </c>
      <c r="B28" s="17">
        <f>SUM('Registro diario'!$G$7:$G$37)</f>
        <v>0</v>
      </c>
      <c r="C28" s="19">
        <f>Configuracion!$B$17</f>
        <v>12000</v>
      </c>
      <c r="D28" s="19">
        <f>B28*C28</f>
        <v>0</v>
      </c>
    </row>
    <row r="29" spans="1:11">
      <c r="A29" s="2" t="s">
        <v>38</v>
      </c>
      <c r="B29" s="17">
        <f>SUM('Registro diario'!$H$7:$H$37)</f>
        <v>1</v>
      </c>
      <c r="C29" s="19">
        <f>Configuracion!$B$18</f>
        <v>12000</v>
      </c>
      <c r="D29" s="19">
        <f>B29*C29</f>
        <v>12000</v>
      </c>
    </row>
    <row r="30" spans="1:11">
      <c r="A30" s="1" t="s">
        <v>39</v>
      </c>
      <c r="B30" s="21">
        <f>SUM(B25:B29)</f>
        <v>49</v>
      </c>
      <c r="C30" s="22"/>
      <c r="D30" s="22">
        <f>SUM(D25:D29)</f>
        <v>1528000</v>
      </c>
    </row>
    <row r="32" spans="1:11" ht="32" customHeight="1">
      <c r="A32" s="51" t="s">
        <v>40</v>
      </c>
      <c r="B32" s="52" t="s">
        <v>40</v>
      </c>
      <c r="C32" s="52" t="s">
        <v>40</v>
      </c>
      <c r="D32" s="52" t="s">
        <v>40</v>
      </c>
      <c r="E32" s="52" t="s">
        <v>40</v>
      </c>
      <c r="F32" s="52" t="s">
        <v>40</v>
      </c>
      <c r="G32" s="52" t="s">
        <v>40</v>
      </c>
      <c r="H32" s="52" t="s">
        <v>40</v>
      </c>
      <c r="I32" s="52" t="s">
        <v>40</v>
      </c>
      <c r="J32" s="53" t="s">
        <v>40</v>
      </c>
    </row>
    <row r="33" spans="1:10" ht="32" customHeight="1">
      <c r="A33" s="54" t="s">
        <v>40</v>
      </c>
      <c r="B33" s="55" t="s">
        <v>40</v>
      </c>
      <c r="C33" s="55" t="s">
        <v>40</v>
      </c>
      <c r="D33" s="55" t="s">
        <v>40</v>
      </c>
      <c r="E33" s="55" t="s">
        <v>40</v>
      </c>
      <c r="F33" s="55" t="s">
        <v>40</v>
      </c>
      <c r="G33" s="55" t="s">
        <v>40</v>
      </c>
      <c r="H33" s="55" t="s">
        <v>40</v>
      </c>
      <c r="I33" s="55" t="s">
        <v>40</v>
      </c>
      <c r="J33" s="56" t="s">
        <v>40</v>
      </c>
    </row>
  </sheetData>
  <mergeCells count="21">
    <mergeCell ref="I9:J9"/>
    <mergeCell ref="I10:J11"/>
    <mergeCell ref="A13:G13"/>
    <mergeCell ref="A23:G23"/>
    <mergeCell ref="A32:J33"/>
    <mergeCell ref="A9:B9"/>
    <mergeCell ref="A10:B11"/>
    <mergeCell ref="D9:E9"/>
    <mergeCell ref="D10:E11"/>
    <mergeCell ref="G9:H9"/>
    <mergeCell ref="G10:H11"/>
    <mergeCell ref="A1:J2"/>
    <mergeCell ref="A3:J3"/>
    <mergeCell ref="A5:B5"/>
    <mergeCell ref="A6:B7"/>
    <mergeCell ref="D5:E5"/>
    <mergeCell ref="D6:E7"/>
    <mergeCell ref="G5:H5"/>
    <mergeCell ref="G6:H7"/>
    <mergeCell ref="I5:J5"/>
    <mergeCell ref="I6:J7"/>
  </mergeCells>
  <conditionalFormatting sqref="D15:D20">
    <cfRule type="cellIs" dxfId="3" priority="1" operator="greaterThan">
      <formula>0</formula>
    </cfRule>
  </conditionalFormatting>
  <conditionalFormatting sqref="E15:E20">
    <cfRule type="dataBar" priority="2">
      <dataBar>
        <cfvo type="min"/>
        <cfvo type="max"/>
        <color rgb="FF548235"/>
      </dataBar>
    </cfRule>
    <cfRule type="dataBar" priority="3">
      <dataBar>
        <cfvo type="min"/>
        <cfvo type="max"/>
        <color rgb="FF548235"/>
      </dataBar>
      <extLst>
        <ext xmlns:x14="http://schemas.microsoft.com/office/spreadsheetml/2009/9/main" uri="{B025F937-C7B1-47D3-B67F-A62EFF666E3E}">
          <x14:id>{2CF8075F-86B4-89D8-8DF8-06BBF5DD8D68}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F8075F-86B4-89D8-8DF8-06BBF5DD8D68}">
            <x14:dataBar>
              <x14:cfvo type="min"/>
              <x14:cfvo type="max"/>
              <x14:negativeFillColor auto="1"/>
              <x14:axisColor auto="1"/>
            </x14:dataBar>
          </x14:cfRule>
          <xm:sqref>E15:E20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7"/>
  <sheetViews>
    <sheetView showGridLines="0" topLeftCell="A3" workbookViewId="0">
      <selection activeCell="E22" sqref="E22"/>
    </sheetView>
  </sheetViews>
  <sheetFormatPr baseColWidth="10" defaultColWidth="8.83203125" defaultRowHeight="15"/>
  <cols>
    <col min="1" max="2" width="13" customWidth="1"/>
    <col min="3" max="3" width="9" customWidth="1"/>
    <col min="4" max="4" width="18" customWidth="1"/>
    <col min="5" max="5" width="15" customWidth="1"/>
    <col min="6" max="7" width="20" customWidth="1"/>
    <col min="8" max="8" width="14" customWidth="1"/>
    <col min="9" max="9" width="12" customWidth="1"/>
    <col min="10" max="10" width="13" customWidth="1"/>
    <col min="11" max="11" width="16" customWidth="1"/>
    <col min="12" max="12" width="14" customWidth="1"/>
    <col min="13" max="13" width="15" customWidth="1"/>
    <col min="14" max="14" width="14" customWidth="1"/>
    <col min="15" max="15" width="17" customWidth="1"/>
    <col min="16" max="16" width="26" customWidth="1"/>
  </cols>
  <sheetData>
    <row r="1" spans="1:16" ht="34" customHeight="1">
      <c r="A1" s="24" t="s">
        <v>41</v>
      </c>
      <c r="B1" s="24" t="s">
        <v>41</v>
      </c>
      <c r="C1" s="24" t="s">
        <v>41</v>
      </c>
      <c r="D1" s="24" t="s">
        <v>41</v>
      </c>
      <c r="E1" s="24" t="s">
        <v>41</v>
      </c>
      <c r="F1" s="24" t="s">
        <v>41</v>
      </c>
      <c r="G1" s="24" t="s">
        <v>41</v>
      </c>
      <c r="H1" s="24" t="s">
        <v>41</v>
      </c>
      <c r="I1" s="24" t="s">
        <v>41</v>
      </c>
      <c r="J1" s="24" t="s">
        <v>41</v>
      </c>
      <c r="K1" s="24" t="s">
        <v>41</v>
      </c>
      <c r="L1" s="24" t="s">
        <v>41</v>
      </c>
      <c r="M1" s="24" t="s">
        <v>41</v>
      </c>
      <c r="N1" s="24" t="s">
        <v>41</v>
      </c>
      <c r="O1" s="24" t="s">
        <v>41</v>
      </c>
      <c r="P1" s="24" t="s">
        <v>41</v>
      </c>
    </row>
    <row r="2" spans="1:16" ht="34" customHeight="1">
      <c r="A2" s="24" t="s">
        <v>41</v>
      </c>
      <c r="B2" s="24" t="s">
        <v>41</v>
      </c>
      <c r="C2" s="24" t="s">
        <v>41</v>
      </c>
      <c r="D2" s="24" t="s">
        <v>41</v>
      </c>
      <c r="E2" s="24" t="s">
        <v>41</v>
      </c>
      <c r="F2" s="24" t="s">
        <v>41</v>
      </c>
      <c r="G2" s="24" t="s">
        <v>41</v>
      </c>
      <c r="H2" s="24" t="s">
        <v>41</v>
      </c>
      <c r="I2" s="24" t="s">
        <v>41</v>
      </c>
      <c r="J2" s="24" t="s">
        <v>41</v>
      </c>
      <c r="K2" s="24" t="s">
        <v>41</v>
      </c>
      <c r="L2" s="24" t="s">
        <v>41</v>
      </c>
      <c r="M2" s="24" t="s">
        <v>41</v>
      </c>
      <c r="N2" s="24" t="s">
        <v>41</v>
      </c>
      <c r="O2" s="24" t="s">
        <v>41</v>
      </c>
      <c r="P2" s="24" t="s">
        <v>41</v>
      </c>
    </row>
    <row r="3" spans="1:16" ht="26" customHeight="1">
      <c r="A3" s="57" t="str">
        <f>"Mes: "&amp;CHOOSE(Configuracion!$B$8,"Enero","Febrero","Marzo","Abril","Mayo","Junio","Julio","Agosto","Septiembre","Octubre","Noviembre","Diciembre")&amp;" "&amp;Configuracion!$B$7&amp;" | Escribe los viajes en las columnas azules."</f>
        <v>Mes: Junio 2026 | Escribe los viajes en las columnas azules.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</row>
    <row r="5" spans="1:16">
      <c r="A5" s="58" t="s">
        <v>42</v>
      </c>
      <c r="B5" s="58" t="s">
        <v>42</v>
      </c>
      <c r="C5" s="58" t="s">
        <v>42</v>
      </c>
      <c r="D5" s="58" t="s">
        <v>42</v>
      </c>
      <c r="E5" s="58" t="s">
        <v>42</v>
      </c>
      <c r="F5" s="58" t="s">
        <v>42</v>
      </c>
      <c r="G5" s="58" t="s">
        <v>42</v>
      </c>
      <c r="H5" s="58" t="s">
        <v>42</v>
      </c>
      <c r="I5" s="58" t="s">
        <v>42</v>
      </c>
      <c r="J5" s="58" t="s">
        <v>42</v>
      </c>
      <c r="K5" s="58" t="s">
        <v>42</v>
      </c>
      <c r="L5" s="58" t="s">
        <v>42</v>
      </c>
      <c r="M5" s="58" t="s">
        <v>42</v>
      </c>
      <c r="N5" s="58" t="s">
        <v>42</v>
      </c>
      <c r="O5" s="58" t="s">
        <v>42</v>
      </c>
      <c r="P5" s="58" t="s">
        <v>42</v>
      </c>
    </row>
    <row r="6" spans="1:16" ht="36" customHeight="1">
      <c r="A6" s="6" t="s">
        <v>43</v>
      </c>
      <c r="B6" s="6" t="s">
        <v>44</v>
      </c>
      <c r="C6" s="6" t="s">
        <v>10</v>
      </c>
      <c r="D6" s="6" t="s">
        <v>34</v>
      </c>
      <c r="E6" s="6" t="s">
        <v>35</v>
      </c>
      <c r="F6" s="6" t="s">
        <v>36</v>
      </c>
      <c r="G6" s="6" t="s">
        <v>37</v>
      </c>
      <c r="H6" s="6" t="s">
        <v>38</v>
      </c>
      <c r="I6" s="6" t="s">
        <v>45</v>
      </c>
      <c r="J6" s="6" t="s">
        <v>46</v>
      </c>
      <c r="K6" s="6" t="s">
        <v>47</v>
      </c>
      <c r="L6" s="6" t="s">
        <v>48</v>
      </c>
      <c r="M6" s="6" t="s">
        <v>15</v>
      </c>
      <c r="N6" s="6" t="s">
        <v>16</v>
      </c>
      <c r="O6" s="6" t="s">
        <v>49</v>
      </c>
      <c r="P6" s="6" t="s">
        <v>50</v>
      </c>
    </row>
    <row r="7" spans="1:16" ht="21" customHeight="1">
      <c r="A7" s="10">
        <f>IF(1&lt;=DAY(EOMONTH(DATE(Configuracion!$B$7,Configuracion!$B$8,1),0)),DATE(Configuracion!$B$7,Configuracion!$B$8,1),"")</f>
        <v>46174</v>
      </c>
      <c r="B7" s="8" t="str">
        <f t="shared" ref="B7:B37" si="0">IF(A7="","",CHOOSE(WEEKDAY(A7,2),"Lunes","Martes","Miercoles","Jueves","Viernes","Sabado","Domingo"))</f>
        <v>Lunes</v>
      </c>
      <c r="C7" s="11">
        <f t="shared" ref="C7:C37" si="1">IF(A7="","",INT((DAY(A7)+WEEKDAY(DATE(YEAR(A7),MONTH(A7),1),2)-2)/7)+1)</f>
        <v>1</v>
      </c>
      <c r="D7" s="12"/>
      <c r="E7" s="12"/>
      <c r="F7" s="12"/>
      <c r="G7" s="12"/>
      <c r="H7" s="12"/>
      <c r="I7" s="13">
        <f t="shared" ref="I7:I37" si="2">IF(A7="","",SUM(D7:H7))</f>
        <v>0</v>
      </c>
      <c r="J7" s="13">
        <f>IF(A7="","",IF(WEEKDAY(A7,2)&lt;=4,Configuracion!$B$9,0))</f>
        <v>20</v>
      </c>
      <c r="K7" s="13">
        <f>IF(A7="","",IF(WEEKDAY(A7,2)&lt;=4,Configuracion!$B$9,IF(SUMIFS($J$7:$J$37,$C$7:$C$37,C7)=0,0,ROUNDUP(MAX(0,SUMIFS($J$7:$J$37,$C$7:$C$37,C7)-SUMIFS($I$7:$I$37,$C$7:$C$37,C7,$A$7:$A$37,"&lt;"&amp;A7))/(8-WEEKDAY(A7,2)),0))))</f>
        <v>20</v>
      </c>
      <c r="L7" s="13">
        <f t="shared" ref="L7:L37" si="3">IF(A7="","",MAX(0,SUMIFS($J$7:$J$37,$C$7:$C$37,C7)-SUMIFS($I$7:$I$37,$C$7:$C$37,C7,$A$7:$A$37,"&lt;="&amp;A7)))</f>
        <v>80</v>
      </c>
      <c r="M7" s="14">
        <f>IF(A7="","",D7*Configuracion!$B$14+E7*Configuracion!$B$15+F7*Configuracion!$B$16+G7*Configuracion!$B$17+H7*Configuracion!$B$18)</f>
        <v>0</v>
      </c>
      <c r="N7" s="14">
        <f>IF(A7="","",M7*Configuracion!$B$10)</f>
        <v>0</v>
      </c>
      <c r="O7" s="9" t="str">
        <f t="shared" ref="O7:O37" si="4">IF(A7="","",IF(I7=0,"",IF(L7=0,"Meta cumplida",IF(WEEKDAY(A7,2)&lt;=4,"En curso","Recuperando"))))</f>
        <v/>
      </c>
      <c r="P7" s="7"/>
    </row>
    <row r="8" spans="1:16" ht="21" customHeight="1">
      <c r="A8" s="10">
        <f>IF(2&lt;=DAY(EOMONTH(DATE(Configuracion!$B$7,Configuracion!$B$8,1),0)),DATE(Configuracion!$B$7,Configuracion!$B$8,2),"")</f>
        <v>46175</v>
      </c>
      <c r="B8" s="8" t="str">
        <f t="shared" si="0"/>
        <v>Martes</v>
      </c>
      <c r="C8" s="11">
        <f t="shared" si="1"/>
        <v>1</v>
      </c>
      <c r="D8" s="12"/>
      <c r="E8" s="12"/>
      <c r="F8" s="12"/>
      <c r="G8" s="12"/>
      <c r="H8" s="12"/>
      <c r="I8" s="13">
        <f t="shared" si="2"/>
        <v>0</v>
      </c>
      <c r="J8" s="13">
        <f>IF(A8="","",IF(WEEKDAY(A8,2)&lt;=4,Configuracion!$B$9,0))</f>
        <v>20</v>
      </c>
      <c r="K8" s="13">
        <f>IF(A8="","",IF(WEEKDAY(A8,2)&lt;=4,Configuracion!$B$9,IF(SUMIFS($J$7:$J$37,$C$7:$C$37,C8)=0,0,ROUNDUP(MAX(0,SUMIFS($J$7:$J$37,$C$7:$C$37,C8)-SUMIFS($I$7:$I$37,$C$7:$C$37,C8,$A$7:$A$37,"&lt;"&amp;A8))/(8-WEEKDAY(A8,2)),0))))</f>
        <v>20</v>
      </c>
      <c r="L8" s="13">
        <f t="shared" si="3"/>
        <v>80</v>
      </c>
      <c r="M8" s="14">
        <f>IF(A8="","",D8*Configuracion!$B$14+E8*Configuracion!$B$15+F8*Configuracion!$B$16+G8*Configuracion!$B$17+H8*Configuracion!$B$18)</f>
        <v>0</v>
      </c>
      <c r="N8" s="14">
        <f>IF(A8="","",M8*Configuracion!$B$10)</f>
        <v>0</v>
      </c>
      <c r="O8" s="9" t="str">
        <f t="shared" si="4"/>
        <v/>
      </c>
      <c r="P8" s="7"/>
    </row>
    <row r="9" spans="1:16" ht="21" customHeight="1">
      <c r="A9" s="10">
        <f>IF(3&lt;=DAY(EOMONTH(DATE(Configuracion!$B$7,Configuracion!$B$8,1),0)),DATE(Configuracion!$B$7,Configuracion!$B$8,3),"")</f>
        <v>46176</v>
      </c>
      <c r="B9" s="8" t="str">
        <f t="shared" si="0"/>
        <v>Miercoles</v>
      </c>
      <c r="C9" s="11">
        <f t="shared" si="1"/>
        <v>1</v>
      </c>
      <c r="D9" s="12"/>
      <c r="E9" s="12"/>
      <c r="F9" s="12"/>
      <c r="G9" s="12"/>
      <c r="H9" s="12"/>
      <c r="I9" s="13">
        <f t="shared" si="2"/>
        <v>0</v>
      </c>
      <c r="J9" s="13">
        <f>IF(A9="","",IF(WEEKDAY(A9,2)&lt;=4,Configuracion!$B$9,0))</f>
        <v>20</v>
      </c>
      <c r="K9" s="13">
        <f>IF(A9="","",IF(WEEKDAY(A9,2)&lt;=4,Configuracion!$B$9,IF(SUMIFS($J$7:$J$37,$C$7:$C$37,C9)=0,0,ROUNDUP(MAX(0,SUMIFS($J$7:$J$37,$C$7:$C$37,C9)-SUMIFS($I$7:$I$37,$C$7:$C$37,C9,$A$7:$A$37,"&lt;"&amp;A9))/(8-WEEKDAY(A9,2)),0))))</f>
        <v>20</v>
      </c>
      <c r="L9" s="13">
        <f t="shared" si="3"/>
        <v>80</v>
      </c>
      <c r="M9" s="14">
        <f>IF(A9="","",D9*Configuracion!$B$14+E9*Configuracion!$B$15+F9*Configuracion!$B$16+G9*Configuracion!$B$17+H9*Configuracion!$B$18)</f>
        <v>0</v>
      </c>
      <c r="N9" s="14">
        <f>IF(A9="","",M9*Configuracion!$B$10)</f>
        <v>0</v>
      </c>
      <c r="O9" s="9" t="str">
        <f t="shared" si="4"/>
        <v/>
      </c>
      <c r="P9" s="7"/>
    </row>
    <row r="10" spans="1:16" ht="21" customHeight="1">
      <c r="A10" s="10">
        <f>IF(4&lt;=DAY(EOMONTH(DATE(Configuracion!$B$7,Configuracion!$B$8,1),0)),DATE(Configuracion!$B$7,Configuracion!$B$8,4),"")</f>
        <v>46177</v>
      </c>
      <c r="B10" s="8" t="str">
        <f t="shared" si="0"/>
        <v>Jueves</v>
      </c>
      <c r="C10" s="11">
        <f t="shared" si="1"/>
        <v>1</v>
      </c>
      <c r="D10" s="12"/>
      <c r="E10" s="12"/>
      <c r="F10" s="12"/>
      <c r="G10" s="12"/>
      <c r="H10" s="12"/>
      <c r="I10" s="13">
        <f t="shared" si="2"/>
        <v>0</v>
      </c>
      <c r="J10" s="13">
        <f>IF(A10="","",IF(WEEKDAY(A10,2)&lt;=4,Configuracion!$B$9,0))</f>
        <v>20</v>
      </c>
      <c r="K10" s="13">
        <f>IF(A10="","",IF(WEEKDAY(A10,2)&lt;=4,Configuracion!$B$9,IF(SUMIFS($J$7:$J$37,$C$7:$C$37,C10)=0,0,ROUNDUP(MAX(0,SUMIFS($J$7:$J$37,$C$7:$C$37,C10)-SUMIFS($I$7:$I$37,$C$7:$C$37,C10,$A$7:$A$37,"&lt;"&amp;A10))/(8-WEEKDAY(A10,2)),0))))</f>
        <v>20</v>
      </c>
      <c r="L10" s="13">
        <f t="shared" si="3"/>
        <v>80</v>
      </c>
      <c r="M10" s="14">
        <f>IF(A10="","",D10*Configuracion!$B$14+E10*Configuracion!$B$15+F10*Configuracion!$B$16+G10*Configuracion!$B$17+H10*Configuracion!$B$18)</f>
        <v>0</v>
      </c>
      <c r="N10" s="14">
        <f>IF(A10="","",M10*Configuracion!$B$10)</f>
        <v>0</v>
      </c>
      <c r="O10" s="9" t="str">
        <f t="shared" si="4"/>
        <v/>
      </c>
      <c r="P10" s="7"/>
    </row>
    <row r="11" spans="1:16" ht="21" customHeight="1">
      <c r="A11" s="10">
        <f>IF(5&lt;=DAY(EOMONTH(DATE(Configuracion!$B$7,Configuracion!$B$8,1),0)),DATE(Configuracion!$B$7,Configuracion!$B$8,5),"")</f>
        <v>46178</v>
      </c>
      <c r="B11" s="8" t="str">
        <f t="shared" si="0"/>
        <v>Viernes</v>
      </c>
      <c r="C11" s="11">
        <f t="shared" si="1"/>
        <v>1</v>
      </c>
      <c r="D11" s="12"/>
      <c r="E11" s="12"/>
      <c r="F11" s="12"/>
      <c r="G11" s="12"/>
      <c r="H11" s="12"/>
      <c r="I11" s="13">
        <f t="shared" si="2"/>
        <v>0</v>
      </c>
      <c r="J11" s="13">
        <f>IF(A11="","",IF(WEEKDAY(A11,2)&lt;=4,Configuracion!$B$9,0))</f>
        <v>0</v>
      </c>
      <c r="K11" s="13">
        <f>IF(A11="","",IF(WEEKDAY(A11,2)&lt;=4,Configuracion!$B$9,IF(SUMIFS($J$7:$J$37,$C$7:$C$37,C11)=0,0,ROUNDUP(MAX(0,SUMIFS($J$7:$J$37,$C$7:$C$37,C11)-SUMIFS($I$7:$I$37,$C$7:$C$37,C11,$A$7:$A$37,"&lt;"&amp;A11))/(8-WEEKDAY(A11,2)),0))))</f>
        <v>27</v>
      </c>
      <c r="L11" s="13">
        <f t="shared" si="3"/>
        <v>80</v>
      </c>
      <c r="M11" s="14">
        <f>IF(A11="","",D11*Configuracion!$B$14+E11*Configuracion!$B$15+F11*Configuracion!$B$16+G11*Configuracion!$B$17+H11*Configuracion!$B$18)</f>
        <v>0</v>
      </c>
      <c r="N11" s="14">
        <f>IF(A11="","",M11*Configuracion!$B$10)</f>
        <v>0</v>
      </c>
      <c r="O11" s="9" t="str">
        <f t="shared" si="4"/>
        <v/>
      </c>
      <c r="P11" s="7"/>
    </row>
    <row r="12" spans="1:16" ht="21" customHeight="1">
      <c r="A12" s="10">
        <f>IF(6&lt;=DAY(EOMONTH(DATE(Configuracion!$B$7,Configuracion!$B$8,1),0)),DATE(Configuracion!$B$7,Configuracion!$B$8,6),"")</f>
        <v>46179</v>
      </c>
      <c r="B12" s="8" t="str">
        <f t="shared" si="0"/>
        <v>Sabado</v>
      </c>
      <c r="C12" s="11">
        <f t="shared" si="1"/>
        <v>1</v>
      </c>
      <c r="D12" s="12"/>
      <c r="E12" s="12"/>
      <c r="F12" s="12"/>
      <c r="G12" s="12"/>
      <c r="H12" s="12"/>
      <c r="I12" s="13">
        <f t="shared" si="2"/>
        <v>0</v>
      </c>
      <c r="J12" s="13">
        <f>IF(A12="","",IF(WEEKDAY(A12,2)&lt;=4,Configuracion!$B$9,0))</f>
        <v>0</v>
      </c>
      <c r="K12" s="13">
        <f>IF(A12="","",IF(WEEKDAY(A12,2)&lt;=4,Configuracion!$B$9,IF(SUMIFS($J$7:$J$37,$C$7:$C$37,C12)=0,0,ROUNDUP(MAX(0,SUMIFS($J$7:$J$37,$C$7:$C$37,C12)-SUMIFS($I$7:$I$37,$C$7:$C$37,C12,$A$7:$A$37,"&lt;"&amp;A12))/(8-WEEKDAY(A12,2)),0))))</f>
        <v>40</v>
      </c>
      <c r="L12" s="13">
        <f t="shared" si="3"/>
        <v>80</v>
      </c>
      <c r="M12" s="14">
        <f>IF(A12="","",D12*Configuracion!$B$14+E12*Configuracion!$B$15+F12*Configuracion!$B$16+G12*Configuracion!$B$17+H12*Configuracion!$B$18)</f>
        <v>0</v>
      </c>
      <c r="N12" s="14">
        <f>IF(A12="","",M12*Configuracion!$B$10)</f>
        <v>0</v>
      </c>
      <c r="O12" s="9" t="str">
        <f t="shared" si="4"/>
        <v/>
      </c>
      <c r="P12" s="7"/>
    </row>
    <row r="13" spans="1:16" ht="21" customHeight="1">
      <c r="A13" s="10">
        <f>IF(7&lt;=DAY(EOMONTH(DATE(Configuracion!$B$7,Configuracion!$B$8,1),0)),DATE(Configuracion!$B$7,Configuracion!$B$8,7),"")</f>
        <v>46180</v>
      </c>
      <c r="B13" s="8" t="str">
        <f t="shared" si="0"/>
        <v>Domingo</v>
      </c>
      <c r="C13" s="11">
        <f t="shared" si="1"/>
        <v>1</v>
      </c>
      <c r="D13" s="12"/>
      <c r="E13" s="12"/>
      <c r="F13" s="12"/>
      <c r="G13" s="12"/>
      <c r="H13" s="12"/>
      <c r="I13" s="13">
        <f t="shared" si="2"/>
        <v>0</v>
      </c>
      <c r="J13" s="13">
        <f>IF(A13="","",IF(WEEKDAY(A13,2)&lt;=4,Configuracion!$B$9,0))</f>
        <v>0</v>
      </c>
      <c r="K13" s="13">
        <f>IF(A13="","",IF(WEEKDAY(A13,2)&lt;=4,Configuracion!$B$9,IF(SUMIFS($J$7:$J$37,$C$7:$C$37,C13)=0,0,ROUNDUP(MAX(0,SUMIFS($J$7:$J$37,$C$7:$C$37,C13)-SUMIFS($I$7:$I$37,$C$7:$C$37,C13,$A$7:$A$37,"&lt;"&amp;A13))/(8-WEEKDAY(A13,2)),0))))</f>
        <v>80</v>
      </c>
      <c r="L13" s="13">
        <f t="shared" si="3"/>
        <v>80</v>
      </c>
      <c r="M13" s="14">
        <f>IF(A13="","",D13*Configuracion!$B$14+E13*Configuracion!$B$15+F13*Configuracion!$B$16+G13*Configuracion!$B$17+H13*Configuracion!$B$18)</f>
        <v>0</v>
      </c>
      <c r="N13" s="14">
        <f>IF(A13="","",M13*Configuracion!$B$10)</f>
        <v>0</v>
      </c>
      <c r="O13" s="9" t="str">
        <f t="shared" si="4"/>
        <v/>
      </c>
      <c r="P13" s="7"/>
    </row>
    <row r="14" spans="1:16" ht="21" customHeight="1">
      <c r="A14" s="10">
        <f>IF(8&lt;=DAY(EOMONTH(DATE(Configuracion!$B$7,Configuracion!$B$8,1),0)),DATE(Configuracion!$B$7,Configuracion!$B$8,8),"")</f>
        <v>46181</v>
      </c>
      <c r="B14" s="8" t="str">
        <f t="shared" si="0"/>
        <v>Lunes</v>
      </c>
      <c r="C14" s="11">
        <f t="shared" si="1"/>
        <v>2</v>
      </c>
      <c r="D14" s="12"/>
      <c r="E14" s="12"/>
      <c r="F14" s="12"/>
      <c r="G14" s="12"/>
      <c r="H14" s="12"/>
      <c r="I14" s="13">
        <f t="shared" si="2"/>
        <v>0</v>
      </c>
      <c r="J14" s="13">
        <f>IF(A14="","",IF(WEEKDAY(A14,2)&lt;=4,Configuracion!$B$9,0))</f>
        <v>20</v>
      </c>
      <c r="K14" s="13">
        <f>IF(A14="","",IF(WEEKDAY(A14,2)&lt;=4,Configuracion!$B$9,IF(SUMIFS($J$7:$J$37,$C$7:$C$37,C14)=0,0,ROUNDUP(MAX(0,SUMIFS($J$7:$J$37,$C$7:$C$37,C14)-SUMIFS($I$7:$I$37,$C$7:$C$37,C14,$A$7:$A$37,"&lt;"&amp;A14))/(8-WEEKDAY(A14,2)),0))))</f>
        <v>20</v>
      </c>
      <c r="L14" s="13">
        <f t="shared" si="3"/>
        <v>80</v>
      </c>
      <c r="M14" s="14">
        <f>IF(A14="","",D14*Configuracion!$B$14+E14*Configuracion!$B$15+F14*Configuracion!$B$16+G14*Configuracion!$B$17+H14*Configuracion!$B$18)</f>
        <v>0</v>
      </c>
      <c r="N14" s="14">
        <f>IF(A14="","",M14*Configuracion!$B$10)</f>
        <v>0</v>
      </c>
      <c r="O14" s="9" t="str">
        <f t="shared" si="4"/>
        <v/>
      </c>
      <c r="P14" s="7"/>
    </row>
    <row r="15" spans="1:16" ht="21" customHeight="1">
      <c r="A15" s="10">
        <f>IF(9&lt;=DAY(EOMONTH(DATE(Configuracion!$B$7,Configuracion!$B$8,1),0)),DATE(Configuracion!$B$7,Configuracion!$B$8,9),"")</f>
        <v>46182</v>
      </c>
      <c r="B15" s="8" t="str">
        <f t="shared" si="0"/>
        <v>Martes</v>
      </c>
      <c r="C15" s="11">
        <f t="shared" si="1"/>
        <v>2</v>
      </c>
      <c r="D15" s="12"/>
      <c r="E15" s="12"/>
      <c r="F15" s="12"/>
      <c r="G15" s="12"/>
      <c r="H15" s="12"/>
      <c r="I15" s="13">
        <f t="shared" si="2"/>
        <v>0</v>
      </c>
      <c r="J15" s="13">
        <f>IF(A15="","",IF(WEEKDAY(A15,2)&lt;=4,Configuracion!$B$9,0))</f>
        <v>20</v>
      </c>
      <c r="K15" s="13">
        <f>IF(A15="","",IF(WEEKDAY(A15,2)&lt;=4,Configuracion!$B$9,IF(SUMIFS($J$7:$J$37,$C$7:$C$37,C15)=0,0,ROUNDUP(MAX(0,SUMIFS($J$7:$J$37,$C$7:$C$37,C15)-SUMIFS($I$7:$I$37,$C$7:$C$37,C15,$A$7:$A$37,"&lt;"&amp;A15))/(8-WEEKDAY(A15,2)),0))))</f>
        <v>20</v>
      </c>
      <c r="L15" s="13">
        <f t="shared" si="3"/>
        <v>80</v>
      </c>
      <c r="M15" s="14">
        <f>IF(A15="","",D15*Configuracion!$B$14+E15*Configuracion!$B$15+F15*Configuracion!$B$16+G15*Configuracion!$B$17+H15*Configuracion!$B$18)</f>
        <v>0</v>
      </c>
      <c r="N15" s="14">
        <f>IF(A15="","",M15*Configuracion!$B$10)</f>
        <v>0</v>
      </c>
      <c r="O15" s="9" t="str">
        <f t="shared" si="4"/>
        <v/>
      </c>
      <c r="P15" s="7"/>
    </row>
    <row r="16" spans="1:16" ht="21" customHeight="1">
      <c r="A16" s="10">
        <f>IF(10&lt;=DAY(EOMONTH(DATE(Configuracion!$B$7,Configuracion!$B$8,1),0)),DATE(Configuracion!$B$7,Configuracion!$B$8,10),"")</f>
        <v>46183</v>
      </c>
      <c r="B16" s="8" t="str">
        <f t="shared" si="0"/>
        <v>Miercoles</v>
      </c>
      <c r="C16" s="11">
        <f t="shared" si="1"/>
        <v>2</v>
      </c>
      <c r="D16" s="12"/>
      <c r="E16" s="12"/>
      <c r="F16" s="12">
        <v>1</v>
      </c>
      <c r="G16" s="12"/>
      <c r="H16" s="12">
        <v>1</v>
      </c>
      <c r="I16" s="13">
        <f t="shared" si="2"/>
        <v>2</v>
      </c>
      <c r="J16" s="13">
        <f>IF(A16="","",IF(WEEKDAY(A16,2)&lt;=4,Configuracion!$B$9,0))</f>
        <v>20</v>
      </c>
      <c r="K16" s="13">
        <f>IF(A16="","",IF(WEEKDAY(A16,2)&lt;=4,Configuracion!$B$9,IF(SUMIFS($J$7:$J$37,$C$7:$C$37,C16)=0,0,ROUNDUP(MAX(0,SUMIFS($J$7:$J$37,$C$7:$C$37,C16)-SUMIFS($I$7:$I$37,$C$7:$C$37,C16,$A$7:$A$37,"&lt;"&amp;A16))/(8-WEEKDAY(A16,2)),0))))</f>
        <v>20</v>
      </c>
      <c r="L16" s="13">
        <f t="shared" si="3"/>
        <v>78</v>
      </c>
      <c r="M16" s="14">
        <f>IF(A16="","",D16*Configuracion!$B$14+E16*Configuracion!$B$15+F16*Configuracion!$B$16+G16*Configuracion!$B$17+H16*Configuracion!$B$18)</f>
        <v>28000</v>
      </c>
      <c r="N16" s="14">
        <f>IF(A16="","",M16*Configuracion!$B$10)</f>
        <v>6160</v>
      </c>
      <c r="O16" s="9" t="str">
        <f t="shared" si="4"/>
        <v>En curso</v>
      </c>
      <c r="P16" s="7"/>
    </row>
    <row r="17" spans="1:16" ht="21" customHeight="1">
      <c r="A17" s="10">
        <f>IF(11&lt;=DAY(EOMONTH(DATE(Configuracion!$B$7,Configuracion!$B$8,1),0)),DATE(Configuracion!$B$7,Configuracion!$B$8,11),"")</f>
        <v>46184</v>
      </c>
      <c r="B17" s="8" t="str">
        <f t="shared" si="0"/>
        <v>Jueves</v>
      </c>
      <c r="C17" s="11">
        <f t="shared" si="1"/>
        <v>2</v>
      </c>
      <c r="D17" s="12">
        <v>16</v>
      </c>
      <c r="E17" s="12">
        <v>1</v>
      </c>
      <c r="F17" s="12"/>
      <c r="G17" s="12"/>
      <c r="H17" s="12"/>
      <c r="I17" s="13">
        <f t="shared" si="2"/>
        <v>17</v>
      </c>
      <c r="J17" s="13">
        <f>IF(A17="","",IF(WEEKDAY(A17,2)&lt;=4,Configuracion!$B$9,0))</f>
        <v>20</v>
      </c>
      <c r="K17" s="13">
        <f>IF(A17="","",IF(WEEKDAY(A17,2)&lt;=4,Configuracion!$B$9,IF(SUMIFS($J$7:$J$37,$C$7:$C$37,C17)=0,0,ROUNDUP(MAX(0,SUMIFS($J$7:$J$37,$C$7:$C$37,C17)-SUMIFS($I$7:$I$37,$C$7:$C$37,C17,$A$7:$A$37,"&lt;"&amp;A17))/(8-WEEKDAY(A17,2)),0))))</f>
        <v>20</v>
      </c>
      <c r="L17" s="13">
        <f t="shared" si="3"/>
        <v>61</v>
      </c>
      <c r="M17" s="14">
        <f>IF(A17="","",D17*Configuracion!$B$14+E17*Configuracion!$B$15+F17*Configuracion!$B$16+G17*Configuracion!$B$17+H17*Configuracion!$B$18)</f>
        <v>542000</v>
      </c>
      <c r="N17" s="14">
        <f>IF(A17="","",M17*Configuracion!$B$10)</f>
        <v>119240</v>
      </c>
      <c r="O17" s="9" t="str">
        <f t="shared" si="4"/>
        <v>En curso</v>
      </c>
      <c r="P17" s="7"/>
    </row>
    <row r="18" spans="1:16" ht="21" customHeight="1">
      <c r="A18" s="10">
        <f>IF(12&lt;=DAY(EOMONTH(DATE(Configuracion!$B$7,Configuracion!$B$8,1),0)),DATE(Configuracion!$B$7,Configuracion!$B$8,12),"")</f>
        <v>46185</v>
      </c>
      <c r="B18" s="8" t="str">
        <f t="shared" si="0"/>
        <v>Viernes</v>
      </c>
      <c r="C18" s="11">
        <f t="shared" si="1"/>
        <v>2</v>
      </c>
      <c r="D18" s="12">
        <v>10</v>
      </c>
      <c r="E18" s="12"/>
      <c r="F18" s="12"/>
      <c r="G18" s="12"/>
      <c r="H18" s="12"/>
      <c r="I18" s="13">
        <f t="shared" si="2"/>
        <v>10</v>
      </c>
      <c r="J18" s="13">
        <f>IF(A18="","",IF(WEEKDAY(A18,2)&lt;=4,Configuracion!$B$9,0))</f>
        <v>0</v>
      </c>
      <c r="K18" s="13">
        <f>IF(A18="","",IF(WEEKDAY(A18,2)&lt;=4,Configuracion!$B$9,IF(SUMIFS($J$7:$J$37,$C$7:$C$37,C18)=0,0,ROUNDUP(MAX(0,SUMIFS($J$7:$J$37,$C$7:$C$37,C18)-SUMIFS($I$7:$I$37,$C$7:$C$37,C18,$A$7:$A$37,"&lt;"&amp;A18))/(8-WEEKDAY(A18,2)),0))))</f>
        <v>21</v>
      </c>
      <c r="L18" s="13">
        <f t="shared" si="3"/>
        <v>51</v>
      </c>
      <c r="M18" s="14">
        <f>IF(A18="","",D18*Configuracion!$B$14+E18*Configuracion!$B$15+F18*Configuracion!$B$16+G18*Configuracion!$B$17+H18*Configuracion!$B$18)</f>
        <v>320000</v>
      </c>
      <c r="N18" s="14">
        <f>IF(A18="","",M18*Configuracion!$B$10)</f>
        <v>70400</v>
      </c>
      <c r="O18" s="9" t="str">
        <f t="shared" si="4"/>
        <v>Recuperando</v>
      </c>
      <c r="P18" s="7"/>
    </row>
    <row r="19" spans="1:16" ht="21" customHeight="1">
      <c r="A19" s="10">
        <f>IF(13&lt;=DAY(EOMONTH(DATE(Configuracion!$B$7,Configuracion!$B$8,1),0)),DATE(Configuracion!$B$7,Configuracion!$B$8,13),"")</f>
        <v>46186</v>
      </c>
      <c r="B19" s="8" t="str">
        <f t="shared" si="0"/>
        <v>Sabado</v>
      </c>
      <c r="C19" s="11">
        <f t="shared" si="1"/>
        <v>2</v>
      </c>
      <c r="D19" s="12">
        <v>19</v>
      </c>
      <c r="E19" s="12">
        <v>1</v>
      </c>
      <c r="F19" s="12"/>
      <c r="G19" s="12"/>
      <c r="H19" s="12"/>
      <c r="I19" s="13">
        <f t="shared" si="2"/>
        <v>20</v>
      </c>
      <c r="J19" s="13">
        <f>IF(A19="","",IF(WEEKDAY(A19,2)&lt;=4,Configuracion!$B$9,0))</f>
        <v>0</v>
      </c>
      <c r="K19" s="13">
        <f>IF(A19="","",IF(WEEKDAY(A19,2)&lt;=4,Configuracion!$B$9,IF(SUMIFS($J$7:$J$37,$C$7:$C$37,C19)=0,0,ROUNDUP(MAX(0,SUMIFS($J$7:$J$37,$C$7:$C$37,C19)-SUMIFS($I$7:$I$37,$C$7:$C$37,C19,$A$7:$A$37,"&lt;"&amp;A19))/(8-WEEKDAY(A19,2)),0))))</f>
        <v>26</v>
      </c>
      <c r="L19" s="13">
        <f t="shared" si="3"/>
        <v>31</v>
      </c>
      <c r="M19" s="14">
        <f>IF(A19="","",D19*Configuracion!$B$14+E19*Configuracion!$B$15+F19*Configuracion!$B$16+G19*Configuracion!$B$17+H19*Configuracion!$B$18)</f>
        <v>638000</v>
      </c>
      <c r="N19" s="14">
        <f>IF(A19="","",M19*Configuracion!$B$10)</f>
        <v>140360</v>
      </c>
      <c r="O19" s="9" t="str">
        <f t="shared" si="4"/>
        <v>Recuperando</v>
      </c>
      <c r="P19" s="7"/>
    </row>
    <row r="20" spans="1:16" ht="21" customHeight="1">
      <c r="A20" s="10">
        <f>IF(14&lt;=DAY(EOMONTH(DATE(Configuracion!$B$7,Configuracion!$B$8,1),0)),DATE(Configuracion!$B$7,Configuracion!$B$8,14),"")</f>
        <v>46187</v>
      </c>
      <c r="B20" s="8" t="str">
        <f t="shared" si="0"/>
        <v>Domingo</v>
      </c>
      <c r="C20" s="11">
        <f t="shared" si="1"/>
        <v>2</v>
      </c>
      <c r="D20" s="12"/>
      <c r="E20" s="12"/>
      <c r="F20" s="12"/>
      <c r="G20" s="12"/>
      <c r="H20" s="12"/>
      <c r="I20" s="13">
        <f t="shared" si="2"/>
        <v>0</v>
      </c>
      <c r="J20" s="13">
        <f>IF(A20="","",IF(WEEKDAY(A20,2)&lt;=4,Configuracion!$B$9,0))</f>
        <v>0</v>
      </c>
      <c r="K20" s="13">
        <f>IF(A20="","",IF(WEEKDAY(A20,2)&lt;=4,Configuracion!$B$9,IF(SUMIFS($J$7:$J$37,$C$7:$C$37,C20)=0,0,ROUNDUP(MAX(0,SUMIFS($J$7:$J$37,$C$7:$C$37,C20)-SUMIFS($I$7:$I$37,$C$7:$C$37,C20,$A$7:$A$37,"&lt;"&amp;A20))/(8-WEEKDAY(A20,2)),0))))</f>
        <v>31</v>
      </c>
      <c r="L20" s="13">
        <f t="shared" si="3"/>
        <v>31</v>
      </c>
      <c r="M20" s="14">
        <f>IF(A20="","",D20*Configuracion!$B$14+E20*Configuracion!$B$15+F20*Configuracion!$B$16+G20*Configuracion!$B$17+H20*Configuracion!$B$18)</f>
        <v>0</v>
      </c>
      <c r="N20" s="14">
        <f>IF(A20="","",M20*Configuracion!$B$10)</f>
        <v>0</v>
      </c>
      <c r="O20" s="9" t="str">
        <f t="shared" si="4"/>
        <v/>
      </c>
      <c r="P20" s="7"/>
    </row>
    <row r="21" spans="1:16" ht="21" customHeight="1">
      <c r="A21" s="10">
        <f>IF(15&lt;=DAY(EOMONTH(DATE(Configuracion!$B$7,Configuracion!$B$8,1),0)),DATE(Configuracion!$B$7,Configuracion!$B$8,15),"")</f>
        <v>46188</v>
      </c>
      <c r="B21" s="8" t="str">
        <f t="shared" si="0"/>
        <v>Lunes</v>
      </c>
      <c r="C21" s="11">
        <f t="shared" si="1"/>
        <v>3</v>
      </c>
      <c r="D21" s="12"/>
      <c r="E21" s="12"/>
      <c r="F21" s="12"/>
      <c r="G21" s="12"/>
      <c r="H21" s="12"/>
      <c r="I21" s="13">
        <f t="shared" si="2"/>
        <v>0</v>
      </c>
      <c r="J21" s="13">
        <f>IF(A21="","",IF(WEEKDAY(A21,2)&lt;=4,Configuracion!$B$9,0))</f>
        <v>20</v>
      </c>
      <c r="K21" s="13">
        <f>IF(A21="","",IF(WEEKDAY(A21,2)&lt;=4,Configuracion!$B$9,IF(SUMIFS($J$7:$J$37,$C$7:$C$37,C21)=0,0,ROUNDUP(MAX(0,SUMIFS($J$7:$J$37,$C$7:$C$37,C21)-SUMIFS($I$7:$I$37,$C$7:$C$37,C21,$A$7:$A$37,"&lt;"&amp;A21))/(8-WEEKDAY(A21,2)),0))))</f>
        <v>20</v>
      </c>
      <c r="L21" s="13">
        <f t="shared" si="3"/>
        <v>80</v>
      </c>
      <c r="M21" s="14">
        <f>IF(A21="","",D21*Configuracion!$B$14+E21*Configuracion!$B$15+F21*Configuracion!$B$16+G21*Configuracion!$B$17+H21*Configuracion!$B$18)</f>
        <v>0</v>
      </c>
      <c r="N21" s="14">
        <f>IF(A21="","",M21*Configuracion!$B$10)</f>
        <v>0</v>
      </c>
      <c r="O21" s="9" t="str">
        <f t="shared" si="4"/>
        <v/>
      </c>
      <c r="P21" s="7"/>
    </row>
    <row r="22" spans="1:16" ht="21" customHeight="1">
      <c r="A22" s="10">
        <f>IF(16&lt;=DAY(EOMONTH(DATE(Configuracion!$B$7,Configuracion!$B$8,1),0)),DATE(Configuracion!$B$7,Configuracion!$B$8,16),"")</f>
        <v>46189</v>
      </c>
      <c r="B22" s="8" t="str">
        <f t="shared" si="0"/>
        <v>Martes</v>
      </c>
      <c r="C22" s="11">
        <f t="shared" si="1"/>
        <v>3</v>
      </c>
      <c r="D22" s="12"/>
      <c r="E22" s="12"/>
      <c r="F22" s="12"/>
      <c r="G22" s="12"/>
      <c r="H22" s="12"/>
      <c r="I22" s="13">
        <f t="shared" si="2"/>
        <v>0</v>
      </c>
      <c r="J22" s="13">
        <f>IF(A22="","",IF(WEEKDAY(A22,2)&lt;=4,Configuracion!$B$9,0))</f>
        <v>20</v>
      </c>
      <c r="K22" s="13">
        <f>IF(A22="","",IF(WEEKDAY(A22,2)&lt;=4,Configuracion!$B$9,IF(SUMIFS($J$7:$J$37,$C$7:$C$37,C22)=0,0,ROUNDUP(MAX(0,SUMIFS($J$7:$J$37,$C$7:$C$37,C22)-SUMIFS($I$7:$I$37,$C$7:$C$37,C22,$A$7:$A$37,"&lt;"&amp;A22))/(8-WEEKDAY(A22,2)),0))))</f>
        <v>20</v>
      </c>
      <c r="L22" s="13">
        <f t="shared" si="3"/>
        <v>80</v>
      </c>
      <c r="M22" s="14">
        <f>IF(A22="","",D22*Configuracion!$B$14+E22*Configuracion!$B$15+F22*Configuracion!$B$16+G22*Configuracion!$B$17+H22*Configuracion!$B$18)</f>
        <v>0</v>
      </c>
      <c r="N22" s="14">
        <f>IF(A22="","",M22*Configuracion!$B$10)</f>
        <v>0</v>
      </c>
      <c r="O22" s="9" t="str">
        <f t="shared" si="4"/>
        <v/>
      </c>
      <c r="P22" s="7"/>
    </row>
    <row r="23" spans="1:16" ht="21" customHeight="1">
      <c r="A23" s="10">
        <f>IF(17&lt;=DAY(EOMONTH(DATE(Configuracion!$B$7,Configuracion!$B$8,1),0)),DATE(Configuracion!$B$7,Configuracion!$B$8,17),"")</f>
        <v>46190</v>
      </c>
      <c r="B23" s="8" t="str">
        <f t="shared" si="0"/>
        <v>Miercoles</v>
      </c>
      <c r="C23" s="11">
        <f t="shared" si="1"/>
        <v>3</v>
      </c>
      <c r="D23" s="12"/>
      <c r="E23" s="12"/>
      <c r="F23" s="12"/>
      <c r="G23" s="12"/>
      <c r="H23" s="12"/>
      <c r="I23" s="13">
        <f t="shared" si="2"/>
        <v>0</v>
      </c>
      <c r="J23" s="13">
        <f>IF(A23="","",IF(WEEKDAY(A23,2)&lt;=4,Configuracion!$B$9,0))</f>
        <v>20</v>
      </c>
      <c r="K23" s="13">
        <f>IF(A23="","",IF(WEEKDAY(A23,2)&lt;=4,Configuracion!$B$9,IF(SUMIFS($J$7:$J$37,$C$7:$C$37,C23)=0,0,ROUNDUP(MAX(0,SUMIFS($J$7:$J$37,$C$7:$C$37,C23)-SUMIFS($I$7:$I$37,$C$7:$C$37,C23,$A$7:$A$37,"&lt;"&amp;A23))/(8-WEEKDAY(A23,2)),0))))</f>
        <v>20</v>
      </c>
      <c r="L23" s="13">
        <f t="shared" si="3"/>
        <v>80</v>
      </c>
      <c r="M23" s="14">
        <f>IF(A23="","",D23*Configuracion!$B$14+E23*Configuracion!$B$15+F23*Configuracion!$B$16+G23*Configuracion!$B$17+H23*Configuracion!$B$18)</f>
        <v>0</v>
      </c>
      <c r="N23" s="14">
        <f>IF(A23="","",M23*Configuracion!$B$10)</f>
        <v>0</v>
      </c>
      <c r="O23" s="9" t="str">
        <f t="shared" si="4"/>
        <v/>
      </c>
      <c r="P23" s="7"/>
    </row>
    <row r="24" spans="1:16" ht="21" customHeight="1">
      <c r="A24" s="10">
        <f>IF(18&lt;=DAY(EOMONTH(DATE(Configuracion!$B$7,Configuracion!$B$8,1),0)),DATE(Configuracion!$B$7,Configuracion!$B$8,18),"")</f>
        <v>46191</v>
      </c>
      <c r="B24" s="8" t="str">
        <f t="shared" si="0"/>
        <v>Jueves</v>
      </c>
      <c r="C24" s="11">
        <f t="shared" si="1"/>
        <v>3</v>
      </c>
      <c r="D24" s="12"/>
      <c r="E24" s="12"/>
      <c r="F24" s="12"/>
      <c r="G24" s="12"/>
      <c r="H24" s="12"/>
      <c r="I24" s="13">
        <f t="shared" si="2"/>
        <v>0</v>
      </c>
      <c r="J24" s="13">
        <f>IF(A24="","",IF(WEEKDAY(A24,2)&lt;=4,Configuracion!$B$9,0))</f>
        <v>20</v>
      </c>
      <c r="K24" s="13">
        <f>IF(A24="","",IF(WEEKDAY(A24,2)&lt;=4,Configuracion!$B$9,IF(SUMIFS($J$7:$J$37,$C$7:$C$37,C24)=0,0,ROUNDUP(MAX(0,SUMIFS($J$7:$J$37,$C$7:$C$37,C24)-SUMIFS($I$7:$I$37,$C$7:$C$37,C24,$A$7:$A$37,"&lt;"&amp;A24))/(8-WEEKDAY(A24,2)),0))))</f>
        <v>20</v>
      </c>
      <c r="L24" s="13">
        <f t="shared" si="3"/>
        <v>80</v>
      </c>
      <c r="M24" s="14">
        <f>IF(A24="","",D24*Configuracion!$B$14+E24*Configuracion!$B$15+F24*Configuracion!$B$16+G24*Configuracion!$B$17+H24*Configuracion!$B$18)</f>
        <v>0</v>
      </c>
      <c r="N24" s="14">
        <f>IF(A24="","",M24*Configuracion!$B$10)</f>
        <v>0</v>
      </c>
      <c r="O24" s="9" t="str">
        <f t="shared" si="4"/>
        <v/>
      </c>
      <c r="P24" s="7"/>
    </row>
    <row r="25" spans="1:16" ht="21" customHeight="1">
      <c r="A25" s="10">
        <f>IF(19&lt;=DAY(EOMONTH(DATE(Configuracion!$B$7,Configuracion!$B$8,1),0)),DATE(Configuracion!$B$7,Configuracion!$B$8,19),"")</f>
        <v>46192</v>
      </c>
      <c r="B25" s="8" t="str">
        <f t="shared" si="0"/>
        <v>Viernes</v>
      </c>
      <c r="C25" s="11">
        <f t="shared" si="1"/>
        <v>3</v>
      </c>
      <c r="D25" s="12"/>
      <c r="E25" s="12"/>
      <c r="F25" s="12"/>
      <c r="G25" s="12"/>
      <c r="H25" s="12"/>
      <c r="I25" s="13">
        <f t="shared" si="2"/>
        <v>0</v>
      </c>
      <c r="J25" s="13">
        <f>IF(A25="","",IF(WEEKDAY(A25,2)&lt;=4,Configuracion!$B$9,0))</f>
        <v>0</v>
      </c>
      <c r="K25" s="13">
        <f>IF(A25="","",IF(WEEKDAY(A25,2)&lt;=4,Configuracion!$B$9,IF(SUMIFS($J$7:$J$37,$C$7:$C$37,C25)=0,0,ROUNDUP(MAX(0,SUMIFS($J$7:$J$37,$C$7:$C$37,C25)-SUMIFS($I$7:$I$37,$C$7:$C$37,C25,$A$7:$A$37,"&lt;"&amp;A25))/(8-WEEKDAY(A25,2)),0))))</f>
        <v>27</v>
      </c>
      <c r="L25" s="13">
        <f t="shared" si="3"/>
        <v>80</v>
      </c>
      <c r="M25" s="14">
        <f>IF(A25="","",D25*Configuracion!$B$14+E25*Configuracion!$B$15+F25*Configuracion!$B$16+G25*Configuracion!$B$17+H25*Configuracion!$B$18)</f>
        <v>0</v>
      </c>
      <c r="N25" s="14">
        <f>IF(A25="","",M25*Configuracion!$B$10)</f>
        <v>0</v>
      </c>
      <c r="O25" s="9" t="str">
        <f t="shared" si="4"/>
        <v/>
      </c>
      <c r="P25" s="7"/>
    </row>
    <row r="26" spans="1:16" ht="21" customHeight="1">
      <c r="A26" s="10">
        <f>IF(20&lt;=DAY(EOMONTH(DATE(Configuracion!$B$7,Configuracion!$B$8,1),0)),DATE(Configuracion!$B$7,Configuracion!$B$8,20),"")</f>
        <v>46193</v>
      </c>
      <c r="B26" s="8" t="str">
        <f t="shared" si="0"/>
        <v>Sabado</v>
      </c>
      <c r="C26" s="11">
        <f t="shared" si="1"/>
        <v>3</v>
      </c>
      <c r="D26" s="12"/>
      <c r="E26" s="12"/>
      <c r="F26" s="12"/>
      <c r="G26" s="12"/>
      <c r="H26" s="12"/>
      <c r="I26" s="13">
        <f t="shared" si="2"/>
        <v>0</v>
      </c>
      <c r="J26" s="13">
        <f>IF(A26="","",IF(WEEKDAY(A26,2)&lt;=4,Configuracion!$B$9,0))</f>
        <v>0</v>
      </c>
      <c r="K26" s="13">
        <f>IF(A26="","",IF(WEEKDAY(A26,2)&lt;=4,Configuracion!$B$9,IF(SUMIFS($J$7:$J$37,$C$7:$C$37,C26)=0,0,ROUNDUP(MAX(0,SUMIFS($J$7:$J$37,$C$7:$C$37,C26)-SUMIFS($I$7:$I$37,$C$7:$C$37,C26,$A$7:$A$37,"&lt;"&amp;A26))/(8-WEEKDAY(A26,2)),0))))</f>
        <v>40</v>
      </c>
      <c r="L26" s="13">
        <f t="shared" si="3"/>
        <v>80</v>
      </c>
      <c r="M26" s="14">
        <f>IF(A26="","",D26*Configuracion!$B$14+E26*Configuracion!$B$15+F26*Configuracion!$B$16+G26*Configuracion!$B$17+H26*Configuracion!$B$18)</f>
        <v>0</v>
      </c>
      <c r="N26" s="14">
        <f>IF(A26="","",M26*Configuracion!$B$10)</f>
        <v>0</v>
      </c>
      <c r="O26" s="9" t="str">
        <f t="shared" si="4"/>
        <v/>
      </c>
      <c r="P26" s="7"/>
    </row>
    <row r="27" spans="1:16" ht="21" customHeight="1">
      <c r="A27" s="10">
        <f>IF(21&lt;=DAY(EOMONTH(DATE(Configuracion!$B$7,Configuracion!$B$8,1),0)),DATE(Configuracion!$B$7,Configuracion!$B$8,21),"")</f>
        <v>46194</v>
      </c>
      <c r="B27" s="8" t="str">
        <f t="shared" si="0"/>
        <v>Domingo</v>
      </c>
      <c r="C27" s="11">
        <f t="shared" si="1"/>
        <v>3</v>
      </c>
      <c r="D27" s="12"/>
      <c r="E27" s="12"/>
      <c r="F27" s="12"/>
      <c r="G27" s="12"/>
      <c r="H27" s="12"/>
      <c r="I27" s="13">
        <f t="shared" si="2"/>
        <v>0</v>
      </c>
      <c r="J27" s="13">
        <f>IF(A27="","",IF(WEEKDAY(A27,2)&lt;=4,Configuracion!$B$9,0))</f>
        <v>0</v>
      </c>
      <c r="K27" s="13">
        <f>IF(A27="","",IF(WEEKDAY(A27,2)&lt;=4,Configuracion!$B$9,IF(SUMIFS($J$7:$J$37,$C$7:$C$37,C27)=0,0,ROUNDUP(MAX(0,SUMIFS($J$7:$J$37,$C$7:$C$37,C27)-SUMIFS($I$7:$I$37,$C$7:$C$37,C27,$A$7:$A$37,"&lt;"&amp;A27))/(8-WEEKDAY(A27,2)),0))))</f>
        <v>80</v>
      </c>
      <c r="L27" s="13">
        <f t="shared" si="3"/>
        <v>80</v>
      </c>
      <c r="M27" s="14">
        <f>IF(A27="","",D27*Configuracion!$B$14+E27*Configuracion!$B$15+F27*Configuracion!$B$16+G27*Configuracion!$B$17+H27*Configuracion!$B$18)</f>
        <v>0</v>
      </c>
      <c r="N27" s="14">
        <f>IF(A27="","",M27*Configuracion!$B$10)</f>
        <v>0</v>
      </c>
      <c r="O27" s="9" t="str">
        <f t="shared" si="4"/>
        <v/>
      </c>
      <c r="P27" s="7"/>
    </row>
    <row r="28" spans="1:16" ht="21" customHeight="1">
      <c r="A28" s="10">
        <f>IF(22&lt;=DAY(EOMONTH(DATE(Configuracion!$B$7,Configuracion!$B$8,1),0)),DATE(Configuracion!$B$7,Configuracion!$B$8,22),"")</f>
        <v>46195</v>
      </c>
      <c r="B28" s="8" t="str">
        <f t="shared" si="0"/>
        <v>Lunes</v>
      </c>
      <c r="C28" s="11">
        <f t="shared" si="1"/>
        <v>4</v>
      </c>
      <c r="D28" s="12"/>
      <c r="E28" s="12"/>
      <c r="F28" s="12"/>
      <c r="G28" s="12"/>
      <c r="H28" s="12"/>
      <c r="I28" s="13">
        <f t="shared" si="2"/>
        <v>0</v>
      </c>
      <c r="J28" s="13">
        <f>IF(A28="","",IF(WEEKDAY(A28,2)&lt;=4,Configuracion!$B$9,0))</f>
        <v>20</v>
      </c>
      <c r="K28" s="13">
        <f>IF(A28="","",IF(WEEKDAY(A28,2)&lt;=4,Configuracion!$B$9,IF(SUMIFS($J$7:$J$37,$C$7:$C$37,C28)=0,0,ROUNDUP(MAX(0,SUMIFS($J$7:$J$37,$C$7:$C$37,C28)-SUMIFS($I$7:$I$37,$C$7:$C$37,C28,$A$7:$A$37,"&lt;"&amp;A28))/(8-WEEKDAY(A28,2)),0))))</f>
        <v>20</v>
      </c>
      <c r="L28" s="13">
        <f t="shared" si="3"/>
        <v>80</v>
      </c>
      <c r="M28" s="14">
        <f>IF(A28="","",D28*Configuracion!$B$14+E28*Configuracion!$B$15+F28*Configuracion!$B$16+G28*Configuracion!$B$17+H28*Configuracion!$B$18)</f>
        <v>0</v>
      </c>
      <c r="N28" s="14">
        <f>IF(A28="","",M28*Configuracion!$B$10)</f>
        <v>0</v>
      </c>
      <c r="O28" s="9" t="str">
        <f t="shared" si="4"/>
        <v/>
      </c>
      <c r="P28" s="7"/>
    </row>
    <row r="29" spans="1:16" ht="21" customHeight="1">
      <c r="A29" s="10">
        <f>IF(23&lt;=DAY(EOMONTH(DATE(Configuracion!$B$7,Configuracion!$B$8,1),0)),DATE(Configuracion!$B$7,Configuracion!$B$8,23),"")</f>
        <v>46196</v>
      </c>
      <c r="B29" s="8" t="str">
        <f t="shared" si="0"/>
        <v>Martes</v>
      </c>
      <c r="C29" s="11">
        <f t="shared" si="1"/>
        <v>4</v>
      </c>
      <c r="D29" s="12"/>
      <c r="E29" s="12"/>
      <c r="F29" s="12"/>
      <c r="G29" s="12"/>
      <c r="H29" s="12"/>
      <c r="I29" s="13">
        <f t="shared" si="2"/>
        <v>0</v>
      </c>
      <c r="J29" s="13">
        <f>IF(A29="","",IF(WEEKDAY(A29,2)&lt;=4,Configuracion!$B$9,0))</f>
        <v>20</v>
      </c>
      <c r="K29" s="13">
        <f>IF(A29="","",IF(WEEKDAY(A29,2)&lt;=4,Configuracion!$B$9,IF(SUMIFS($J$7:$J$37,$C$7:$C$37,C29)=0,0,ROUNDUP(MAX(0,SUMIFS($J$7:$J$37,$C$7:$C$37,C29)-SUMIFS($I$7:$I$37,$C$7:$C$37,C29,$A$7:$A$37,"&lt;"&amp;A29))/(8-WEEKDAY(A29,2)),0))))</f>
        <v>20</v>
      </c>
      <c r="L29" s="13">
        <f t="shared" si="3"/>
        <v>80</v>
      </c>
      <c r="M29" s="14">
        <f>IF(A29="","",D29*Configuracion!$B$14+E29*Configuracion!$B$15+F29*Configuracion!$B$16+G29*Configuracion!$B$17+H29*Configuracion!$B$18)</f>
        <v>0</v>
      </c>
      <c r="N29" s="14">
        <f>IF(A29="","",M29*Configuracion!$B$10)</f>
        <v>0</v>
      </c>
      <c r="O29" s="9" t="str">
        <f t="shared" si="4"/>
        <v/>
      </c>
      <c r="P29" s="7"/>
    </row>
    <row r="30" spans="1:16" ht="21" customHeight="1">
      <c r="A30" s="10">
        <f>IF(24&lt;=DAY(EOMONTH(DATE(Configuracion!$B$7,Configuracion!$B$8,1),0)),DATE(Configuracion!$B$7,Configuracion!$B$8,24),"")</f>
        <v>46197</v>
      </c>
      <c r="B30" s="8" t="str">
        <f t="shared" si="0"/>
        <v>Miercoles</v>
      </c>
      <c r="C30" s="11">
        <f t="shared" si="1"/>
        <v>4</v>
      </c>
      <c r="D30" s="12"/>
      <c r="E30" s="12"/>
      <c r="F30" s="12"/>
      <c r="G30" s="12"/>
      <c r="H30" s="12"/>
      <c r="I30" s="13">
        <f t="shared" si="2"/>
        <v>0</v>
      </c>
      <c r="J30" s="13">
        <f>IF(A30="","",IF(WEEKDAY(A30,2)&lt;=4,Configuracion!$B$9,0))</f>
        <v>20</v>
      </c>
      <c r="K30" s="13">
        <f>IF(A30="","",IF(WEEKDAY(A30,2)&lt;=4,Configuracion!$B$9,IF(SUMIFS($J$7:$J$37,$C$7:$C$37,C30)=0,0,ROUNDUP(MAX(0,SUMIFS($J$7:$J$37,$C$7:$C$37,C30)-SUMIFS($I$7:$I$37,$C$7:$C$37,C30,$A$7:$A$37,"&lt;"&amp;A30))/(8-WEEKDAY(A30,2)),0))))</f>
        <v>20</v>
      </c>
      <c r="L30" s="13">
        <f t="shared" si="3"/>
        <v>80</v>
      </c>
      <c r="M30" s="14">
        <f>IF(A30="","",D30*Configuracion!$B$14+E30*Configuracion!$B$15+F30*Configuracion!$B$16+G30*Configuracion!$B$17+H30*Configuracion!$B$18)</f>
        <v>0</v>
      </c>
      <c r="N30" s="14">
        <f>IF(A30="","",M30*Configuracion!$B$10)</f>
        <v>0</v>
      </c>
      <c r="O30" s="9" t="str">
        <f t="shared" si="4"/>
        <v/>
      </c>
      <c r="P30" s="7"/>
    </row>
    <row r="31" spans="1:16" ht="21" customHeight="1">
      <c r="A31" s="10">
        <f>IF(25&lt;=DAY(EOMONTH(DATE(Configuracion!$B$7,Configuracion!$B$8,1),0)),DATE(Configuracion!$B$7,Configuracion!$B$8,25),"")</f>
        <v>46198</v>
      </c>
      <c r="B31" s="8" t="str">
        <f t="shared" si="0"/>
        <v>Jueves</v>
      </c>
      <c r="C31" s="11">
        <f t="shared" si="1"/>
        <v>4</v>
      </c>
      <c r="D31" s="12"/>
      <c r="E31" s="12"/>
      <c r="F31" s="12"/>
      <c r="G31" s="12"/>
      <c r="H31" s="12"/>
      <c r="I31" s="13">
        <f t="shared" si="2"/>
        <v>0</v>
      </c>
      <c r="J31" s="13">
        <f>IF(A31="","",IF(WEEKDAY(A31,2)&lt;=4,Configuracion!$B$9,0))</f>
        <v>20</v>
      </c>
      <c r="K31" s="13">
        <f>IF(A31="","",IF(WEEKDAY(A31,2)&lt;=4,Configuracion!$B$9,IF(SUMIFS($J$7:$J$37,$C$7:$C$37,C31)=0,0,ROUNDUP(MAX(0,SUMIFS($J$7:$J$37,$C$7:$C$37,C31)-SUMIFS($I$7:$I$37,$C$7:$C$37,C31,$A$7:$A$37,"&lt;"&amp;A31))/(8-WEEKDAY(A31,2)),0))))</f>
        <v>20</v>
      </c>
      <c r="L31" s="13">
        <f t="shared" si="3"/>
        <v>80</v>
      </c>
      <c r="M31" s="14">
        <f>IF(A31="","",D31*Configuracion!$B$14+E31*Configuracion!$B$15+F31*Configuracion!$B$16+G31*Configuracion!$B$17+H31*Configuracion!$B$18)</f>
        <v>0</v>
      </c>
      <c r="N31" s="14">
        <f>IF(A31="","",M31*Configuracion!$B$10)</f>
        <v>0</v>
      </c>
      <c r="O31" s="9" t="str">
        <f t="shared" si="4"/>
        <v/>
      </c>
      <c r="P31" s="7"/>
    </row>
    <row r="32" spans="1:16" ht="21" customHeight="1">
      <c r="A32" s="10">
        <f>IF(26&lt;=DAY(EOMONTH(DATE(Configuracion!$B$7,Configuracion!$B$8,1),0)),DATE(Configuracion!$B$7,Configuracion!$B$8,26),"")</f>
        <v>46199</v>
      </c>
      <c r="B32" s="8" t="str">
        <f t="shared" si="0"/>
        <v>Viernes</v>
      </c>
      <c r="C32" s="11">
        <f t="shared" si="1"/>
        <v>4</v>
      </c>
      <c r="D32" s="12"/>
      <c r="E32" s="12"/>
      <c r="F32" s="12"/>
      <c r="G32" s="12"/>
      <c r="H32" s="12"/>
      <c r="I32" s="13">
        <f t="shared" si="2"/>
        <v>0</v>
      </c>
      <c r="J32" s="13">
        <f>IF(A32="","",IF(WEEKDAY(A32,2)&lt;=4,Configuracion!$B$9,0))</f>
        <v>0</v>
      </c>
      <c r="K32" s="13">
        <f>IF(A32="","",IF(WEEKDAY(A32,2)&lt;=4,Configuracion!$B$9,IF(SUMIFS($J$7:$J$37,$C$7:$C$37,C32)=0,0,ROUNDUP(MAX(0,SUMIFS($J$7:$J$37,$C$7:$C$37,C32)-SUMIFS($I$7:$I$37,$C$7:$C$37,C32,$A$7:$A$37,"&lt;"&amp;A32))/(8-WEEKDAY(A32,2)),0))))</f>
        <v>27</v>
      </c>
      <c r="L32" s="13">
        <f t="shared" si="3"/>
        <v>80</v>
      </c>
      <c r="M32" s="14">
        <f>IF(A32="","",D32*Configuracion!$B$14+E32*Configuracion!$B$15+F32*Configuracion!$B$16+G32*Configuracion!$B$17+H32*Configuracion!$B$18)</f>
        <v>0</v>
      </c>
      <c r="N32" s="14">
        <f>IF(A32="","",M32*Configuracion!$B$10)</f>
        <v>0</v>
      </c>
      <c r="O32" s="9" t="str">
        <f t="shared" si="4"/>
        <v/>
      </c>
      <c r="P32" s="7"/>
    </row>
    <row r="33" spans="1:16" ht="21" customHeight="1">
      <c r="A33" s="10">
        <f>IF(27&lt;=DAY(EOMONTH(DATE(Configuracion!$B$7,Configuracion!$B$8,1),0)),DATE(Configuracion!$B$7,Configuracion!$B$8,27),"")</f>
        <v>46200</v>
      </c>
      <c r="B33" s="8" t="str">
        <f t="shared" si="0"/>
        <v>Sabado</v>
      </c>
      <c r="C33" s="11">
        <f t="shared" si="1"/>
        <v>4</v>
      </c>
      <c r="D33" s="12"/>
      <c r="E33" s="12"/>
      <c r="F33" s="12"/>
      <c r="G33" s="12"/>
      <c r="H33" s="12"/>
      <c r="I33" s="13">
        <f t="shared" si="2"/>
        <v>0</v>
      </c>
      <c r="J33" s="13">
        <f>IF(A33="","",IF(WEEKDAY(A33,2)&lt;=4,Configuracion!$B$9,0))</f>
        <v>0</v>
      </c>
      <c r="K33" s="13">
        <f>IF(A33="","",IF(WEEKDAY(A33,2)&lt;=4,Configuracion!$B$9,IF(SUMIFS($J$7:$J$37,$C$7:$C$37,C33)=0,0,ROUNDUP(MAX(0,SUMIFS($J$7:$J$37,$C$7:$C$37,C33)-SUMIFS($I$7:$I$37,$C$7:$C$37,C33,$A$7:$A$37,"&lt;"&amp;A33))/(8-WEEKDAY(A33,2)),0))))</f>
        <v>40</v>
      </c>
      <c r="L33" s="13">
        <f t="shared" si="3"/>
        <v>80</v>
      </c>
      <c r="M33" s="14">
        <f>IF(A33="","",D33*Configuracion!$B$14+E33*Configuracion!$B$15+F33*Configuracion!$B$16+G33*Configuracion!$B$17+H33*Configuracion!$B$18)</f>
        <v>0</v>
      </c>
      <c r="N33" s="14">
        <f>IF(A33="","",M33*Configuracion!$B$10)</f>
        <v>0</v>
      </c>
      <c r="O33" s="9" t="str">
        <f t="shared" si="4"/>
        <v/>
      </c>
      <c r="P33" s="7"/>
    </row>
    <row r="34" spans="1:16" ht="21" customHeight="1">
      <c r="A34" s="10">
        <f>IF(28&lt;=DAY(EOMONTH(DATE(Configuracion!$B$7,Configuracion!$B$8,1),0)),DATE(Configuracion!$B$7,Configuracion!$B$8,28),"")</f>
        <v>46201</v>
      </c>
      <c r="B34" s="8" t="str">
        <f t="shared" si="0"/>
        <v>Domingo</v>
      </c>
      <c r="C34" s="11">
        <f t="shared" si="1"/>
        <v>4</v>
      </c>
      <c r="D34" s="12"/>
      <c r="E34" s="12"/>
      <c r="F34" s="12"/>
      <c r="G34" s="12"/>
      <c r="H34" s="12"/>
      <c r="I34" s="13">
        <f t="shared" si="2"/>
        <v>0</v>
      </c>
      <c r="J34" s="13">
        <f>IF(A34="","",IF(WEEKDAY(A34,2)&lt;=4,Configuracion!$B$9,0))</f>
        <v>0</v>
      </c>
      <c r="K34" s="13">
        <f>IF(A34="","",IF(WEEKDAY(A34,2)&lt;=4,Configuracion!$B$9,IF(SUMIFS($J$7:$J$37,$C$7:$C$37,C34)=0,0,ROUNDUP(MAX(0,SUMIFS($J$7:$J$37,$C$7:$C$37,C34)-SUMIFS($I$7:$I$37,$C$7:$C$37,C34,$A$7:$A$37,"&lt;"&amp;A34))/(8-WEEKDAY(A34,2)),0))))</f>
        <v>80</v>
      </c>
      <c r="L34" s="13">
        <f t="shared" si="3"/>
        <v>80</v>
      </c>
      <c r="M34" s="14">
        <f>IF(A34="","",D34*Configuracion!$B$14+E34*Configuracion!$B$15+F34*Configuracion!$B$16+G34*Configuracion!$B$17+H34*Configuracion!$B$18)</f>
        <v>0</v>
      </c>
      <c r="N34" s="14">
        <f>IF(A34="","",M34*Configuracion!$B$10)</f>
        <v>0</v>
      </c>
      <c r="O34" s="9" t="str">
        <f t="shared" si="4"/>
        <v/>
      </c>
      <c r="P34" s="7"/>
    </row>
    <row r="35" spans="1:16" ht="21" customHeight="1">
      <c r="A35" s="10">
        <f>IF(29&lt;=DAY(EOMONTH(DATE(Configuracion!$B$7,Configuracion!$B$8,1),0)),DATE(Configuracion!$B$7,Configuracion!$B$8,29),"")</f>
        <v>46202</v>
      </c>
      <c r="B35" s="8" t="str">
        <f t="shared" si="0"/>
        <v>Lunes</v>
      </c>
      <c r="C35" s="11">
        <f t="shared" si="1"/>
        <v>5</v>
      </c>
      <c r="D35" s="12"/>
      <c r="E35" s="12"/>
      <c r="F35" s="12"/>
      <c r="G35" s="12"/>
      <c r="H35" s="12"/>
      <c r="I35" s="13">
        <f t="shared" si="2"/>
        <v>0</v>
      </c>
      <c r="J35" s="13">
        <f>IF(A35="","",IF(WEEKDAY(A35,2)&lt;=4,Configuracion!$B$9,0))</f>
        <v>20</v>
      </c>
      <c r="K35" s="13">
        <f>IF(A35="","",IF(WEEKDAY(A35,2)&lt;=4,Configuracion!$B$9,IF(SUMIFS($J$7:$J$37,$C$7:$C$37,C35)=0,0,ROUNDUP(MAX(0,SUMIFS($J$7:$J$37,$C$7:$C$37,C35)-SUMIFS($I$7:$I$37,$C$7:$C$37,C35,$A$7:$A$37,"&lt;"&amp;A35))/(8-WEEKDAY(A35,2)),0))))</f>
        <v>20</v>
      </c>
      <c r="L35" s="13">
        <f t="shared" si="3"/>
        <v>40</v>
      </c>
      <c r="M35" s="14">
        <f>IF(A35="","",D35*Configuracion!$B$14+E35*Configuracion!$B$15+F35*Configuracion!$B$16+G35*Configuracion!$B$17+H35*Configuracion!$B$18)</f>
        <v>0</v>
      </c>
      <c r="N35" s="14">
        <f>IF(A35="","",M35*Configuracion!$B$10)</f>
        <v>0</v>
      </c>
      <c r="O35" s="9" t="str">
        <f t="shared" si="4"/>
        <v/>
      </c>
      <c r="P35" s="7"/>
    </row>
    <row r="36" spans="1:16" ht="21" customHeight="1">
      <c r="A36" s="10">
        <f>IF(30&lt;=DAY(EOMONTH(DATE(Configuracion!$B$7,Configuracion!$B$8,1),0)),DATE(Configuracion!$B$7,Configuracion!$B$8,30),"")</f>
        <v>46203</v>
      </c>
      <c r="B36" s="8" t="str">
        <f t="shared" si="0"/>
        <v>Martes</v>
      </c>
      <c r="C36" s="11">
        <f t="shared" si="1"/>
        <v>5</v>
      </c>
      <c r="D36" s="12"/>
      <c r="E36" s="12"/>
      <c r="F36" s="12"/>
      <c r="G36" s="12"/>
      <c r="H36" s="12"/>
      <c r="I36" s="13">
        <f t="shared" si="2"/>
        <v>0</v>
      </c>
      <c r="J36" s="13">
        <f>IF(A36="","",IF(WEEKDAY(A36,2)&lt;=4,Configuracion!$B$9,0))</f>
        <v>20</v>
      </c>
      <c r="K36" s="13">
        <f>IF(A36="","",IF(WEEKDAY(A36,2)&lt;=4,Configuracion!$B$9,IF(SUMIFS($J$7:$J$37,$C$7:$C$37,C36)=0,0,ROUNDUP(MAX(0,SUMIFS($J$7:$J$37,$C$7:$C$37,C36)-SUMIFS($I$7:$I$37,$C$7:$C$37,C36,$A$7:$A$37,"&lt;"&amp;A36))/(8-WEEKDAY(A36,2)),0))))</f>
        <v>20</v>
      </c>
      <c r="L36" s="13">
        <f t="shared" si="3"/>
        <v>40</v>
      </c>
      <c r="M36" s="14">
        <f>IF(A36="","",D36*Configuracion!$B$14+E36*Configuracion!$B$15+F36*Configuracion!$B$16+G36*Configuracion!$B$17+H36*Configuracion!$B$18)</f>
        <v>0</v>
      </c>
      <c r="N36" s="14">
        <f>IF(A36="","",M36*Configuracion!$B$10)</f>
        <v>0</v>
      </c>
      <c r="O36" s="9" t="str">
        <f t="shared" si="4"/>
        <v/>
      </c>
      <c r="P36" s="7"/>
    </row>
    <row r="37" spans="1:16" ht="21" customHeight="1">
      <c r="A37" s="10" t="str">
        <f>IF(31&lt;=DAY(EOMONTH(DATE(Configuracion!$B$7,Configuracion!$B$8,1),0)),DATE(Configuracion!$B$7,Configuracion!$B$8,31),"")</f>
        <v/>
      </c>
      <c r="B37" s="8" t="str">
        <f t="shared" si="0"/>
        <v/>
      </c>
      <c r="C37" s="11" t="str">
        <f t="shared" si="1"/>
        <v/>
      </c>
      <c r="D37" s="12"/>
      <c r="E37" s="12"/>
      <c r="F37" s="12"/>
      <c r="G37" s="12"/>
      <c r="H37" s="12"/>
      <c r="I37" s="13" t="str">
        <f t="shared" si="2"/>
        <v/>
      </c>
      <c r="J37" s="13" t="str">
        <f>IF(A37="","",IF(WEEKDAY(A37,2)&lt;=4,Configuracion!$B$9,0))</f>
        <v/>
      </c>
      <c r="K37" s="13" t="str">
        <f>IF(A37="","",IF(WEEKDAY(A37,2)&lt;=4,Configuracion!$B$9,IF(SUMIFS($J$7:$J$37,$C$7:$C$37,C37)=0,0,ROUNDUP(MAX(0,SUMIFS($J$7:$J$37,$C$7:$C$37,C37)-SUMIFS($I$7:$I$37,$C$7:$C$37,C37,$A$7:$A$37,"&lt;"&amp;A37))/(8-WEEKDAY(A37,2)),0))))</f>
        <v/>
      </c>
      <c r="L37" s="13" t="str">
        <f t="shared" si="3"/>
        <v/>
      </c>
      <c r="M37" s="14" t="str">
        <f>IF(A37="","",D37*Configuracion!$B$14+E37*Configuracion!$B$15+F37*Configuracion!$B$16+G37*Configuracion!$B$17+H37*Configuracion!$B$18)</f>
        <v/>
      </c>
      <c r="N37" s="14" t="str">
        <f>IF(A37="","",M37*Configuracion!$B$10)</f>
        <v/>
      </c>
      <c r="O37" s="9" t="str">
        <f t="shared" si="4"/>
        <v/>
      </c>
      <c r="P37" s="7"/>
    </row>
  </sheetData>
  <mergeCells count="3">
    <mergeCell ref="A1:P2"/>
    <mergeCell ref="A3:P3"/>
    <mergeCell ref="A5:P5"/>
  </mergeCells>
  <conditionalFormatting sqref="I7:I37">
    <cfRule type="dataBar" priority="1">
      <dataBar>
        <cfvo type="min"/>
        <cfvo type="max"/>
        <color rgb="FF2F75B5"/>
      </dataBar>
    </cfRule>
    <cfRule type="dataBar" priority="5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{87667BF6-9305-48A5-8BB2-866CF7FF7B12}</x14:id>
        </ext>
      </extLst>
    </cfRule>
  </conditionalFormatting>
  <conditionalFormatting sqref="L7:L37">
    <cfRule type="cellIs" dxfId="2" priority="2" operator="greaterThan">
      <formula>0</formula>
    </cfRule>
  </conditionalFormatting>
  <conditionalFormatting sqref="O7:O37">
    <cfRule type="containsText" dxfId="1" priority="3" operator="containsText" text="Meta cumplida"/>
    <cfRule type="containsText" dxfId="0" priority="4" operator="containsText" text="Recuperando"/>
  </conditionalFormatting>
  <dataValidations count="1">
    <dataValidation type="whole" sqref="D7:H37" xr:uid="{00000000-0002-0000-0100-000000000000}">
      <formula1>0</formula1>
      <formula2>500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667BF6-9305-48A5-8BB2-866CF7FF7B12}">
            <x14:dataBar>
              <x14:cfvo type="min"/>
              <x14:cfvo type="max"/>
              <x14:negativeFillColor auto="1"/>
              <x14:axisColor auto="1"/>
            </x14:dataBar>
          </x14:cfRule>
          <xm:sqref>I7:I37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showGridLines="0" workbookViewId="0">
      <selection sqref="A1:F2"/>
    </sheetView>
  </sheetViews>
  <sheetFormatPr baseColWidth="10" defaultColWidth="8.83203125" defaultRowHeight="15"/>
  <cols>
    <col min="1" max="1" width="30" customWidth="1"/>
    <col min="2" max="2" width="18" customWidth="1"/>
    <col min="3" max="3" width="28" customWidth="1"/>
    <col min="4" max="6" width="14" customWidth="1"/>
  </cols>
  <sheetData>
    <row r="1" spans="1:6" ht="34" customHeight="1">
      <c r="A1" s="24" t="s">
        <v>51</v>
      </c>
      <c r="B1" s="24" t="s">
        <v>51</v>
      </c>
      <c r="C1" s="24" t="s">
        <v>51</v>
      </c>
      <c r="D1" s="24" t="s">
        <v>51</v>
      </c>
      <c r="E1" s="24" t="s">
        <v>51</v>
      </c>
      <c r="F1" s="24" t="s">
        <v>51</v>
      </c>
    </row>
    <row r="2" spans="1:6" ht="34" customHeight="1">
      <c r="A2" s="24" t="s">
        <v>51</v>
      </c>
      <c r="B2" s="24" t="s">
        <v>51</v>
      </c>
      <c r="C2" s="24" t="s">
        <v>51</v>
      </c>
      <c r="D2" s="24" t="s">
        <v>51</v>
      </c>
      <c r="E2" s="24" t="s">
        <v>51</v>
      </c>
      <c r="F2" s="24" t="s">
        <v>51</v>
      </c>
    </row>
    <row r="3" spans="1:6" ht="30" customHeight="1">
      <c r="A3" s="59" t="s">
        <v>52</v>
      </c>
      <c r="B3" s="59" t="s">
        <v>52</v>
      </c>
      <c r="C3" s="59" t="s">
        <v>52</v>
      </c>
      <c r="D3" s="59" t="s">
        <v>52</v>
      </c>
      <c r="E3" s="59" t="s">
        <v>52</v>
      </c>
      <c r="F3" s="59" t="s">
        <v>52</v>
      </c>
    </row>
    <row r="5" spans="1:6" ht="24" customHeight="1">
      <c r="A5" s="50" t="s">
        <v>53</v>
      </c>
      <c r="B5" s="50" t="s">
        <v>53</v>
      </c>
      <c r="C5" s="50" t="s">
        <v>53</v>
      </c>
    </row>
    <row r="6" spans="1:6">
      <c r="A6" s="1" t="s">
        <v>54</v>
      </c>
      <c r="B6" s="1" t="s">
        <v>55</v>
      </c>
    </row>
    <row r="7" spans="1:6">
      <c r="A7" s="2" t="s">
        <v>56</v>
      </c>
      <c r="B7" s="3">
        <v>2026</v>
      </c>
    </row>
    <row r="8" spans="1:6">
      <c r="A8" s="2" t="s">
        <v>57</v>
      </c>
      <c r="B8" s="3">
        <v>6</v>
      </c>
    </row>
    <row r="9" spans="1:6">
      <c r="A9" s="2" t="s">
        <v>58</v>
      </c>
      <c r="B9" s="3">
        <v>20</v>
      </c>
    </row>
    <row r="10" spans="1:6">
      <c r="A10" s="2" t="s">
        <v>59</v>
      </c>
      <c r="B10" s="4">
        <v>0.22</v>
      </c>
    </row>
    <row r="12" spans="1:6" ht="24" customHeight="1">
      <c r="A12" s="50" t="s">
        <v>60</v>
      </c>
      <c r="B12" s="50" t="s">
        <v>60</v>
      </c>
      <c r="C12" s="50" t="s">
        <v>60</v>
      </c>
      <c r="D12" s="50" t="s">
        <v>60</v>
      </c>
    </row>
    <row r="13" spans="1:6">
      <c r="A13" s="1" t="s">
        <v>30</v>
      </c>
      <c r="B13" s="1" t="s">
        <v>32</v>
      </c>
      <c r="C13" s="1" t="s">
        <v>61</v>
      </c>
    </row>
    <row r="14" spans="1:6">
      <c r="A14" s="2" t="s">
        <v>34</v>
      </c>
      <c r="B14" s="5">
        <v>32000</v>
      </c>
      <c r="C14" s="2" t="s">
        <v>62</v>
      </c>
    </row>
    <row r="15" spans="1:6">
      <c r="A15" s="2" t="s">
        <v>35</v>
      </c>
      <c r="B15" s="5">
        <v>30000</v>
      </c>
      <c r="C15" s="2" t="s">
        <v>63</v>
      </c>
    </row>
    <row r="16" spans="1:6">
      <c r="A16" s="2" t="s">
        <v>36</v>
      </c>
      <c r="B16" s="5">
        <v>16000</v>
      </c>
      <c r="C16" s="2" t="s">
        <v>64</v>
      </c>
    </row>
    <row r="17" spans="1:6">
      <c r="A17" s="2" t="s">
        <v>37</v>
      </c>
      <c r="B17" s="5">
        <v>12000</v>
      </c>
      <c r="C17" s="2" t="s">
        <v>65</v>
      </c>
    </row>
    <row r="18" spans="1:6">
      <c r="A18" s="2" t="s">
        <v>38</v>
      </c>
      <c r="B18" s="5">
        <v>12000</v>
      </c>
      <c r="C18" s="2" t="s">
        <v>66</v>
      </c>
    </row>
    <row r="20" spans="1:6" ht="24" customHeight="1">
      <c r="A20" s="50" t="s">
        <v>67</v>
      </c>
      <c r="B20" s="50" t="s">
        <v>67</v>
      </c>
      <c r="C20" s="50" t="s">
        <v>67</v>
      </c>
      <c r="D20" s="50" t="s">
        <v>67</v>
      </c>
      <c r="E20" s="50" t="s">
        <v>67</v>
      </c>
      <c r="F20" s="50" t="s">
        <v>67</v>
      </c>
    </row>
    <row r="21" spans="1:6" ht="24" customHeight="1">
      <c r="A21" s="60" t="s">
        <v>68</v>
      </c>
      <c r="B21" s="61"/>
      <c r="C21" s="61"/>
      <c r="D21" s="61"/>
      <c r="E21" s="61"/>
      <c r="F21" s="62"/>
    </row>
    <row r="22" spans="1:6" ht="24" customHeight="1">
      <c r="A22" s="63" t="s">
        <v>69</v>
      </c>
      <c r="B22" s="64"/>
      <c r="C22" s="64"/>
      <c r="D22" s="64"/>
      <c r="E22" s="64"/>
      <c r="F22" s="65"/>
    </row>
    <row r="23" spans="1:6" ht="24" customHeight="1">
      <c r="A23" s="63" t="s">
        <v>70</v>
      </c>
      <c r="B23" s="64"/>
      <c r="C23" s="64"/>
      <c r="D23" s="64"/>
      <c r="E23" s="64"/>
      <c r="F23" s="65"/>
    </row>
    <row r="24" spans="1:6" ht="24" customHeight="1">
      <c r="A24" s="63" t="s">
        <v>71</v>
      </c>
      <c r="B24" s="64"/>
      <c r="C24" s="64"/>
      <c r="D24" s="64"/>
      <c r="E24" s="64"/>
      <c r="F24" s="65"/>
    </row>
    <row r="25" spans="1:6" ht="24" customHeight="1">
      <c r="A25" s="66" t="s">
        <v>72</v>
      </c>
      <c r="B25" s="67"/>
      <c r="C25" s="67"/>
      <c r="D25" s="67"/>
      <c r="E25" s="67"/>
      <c r="F25" s="68"/>
    </row>
  </sheetData>
  <mergeCells count="10">
    <mergeCell ref="A21:F21"/>
    <mergeCell ref="A22:F22"/>
    <mergeCell ref="A23:F23"/>
    <mergeCell ref="A24:F24"/>
    <mergeCell ref="A25:F25"/>
    <mergeCell ref="A1:F2"/>
    <mergeCell ref="A3:F3"/>
    <mergeCell ref="A5:C5"/>
    <mergeCell ref="A12:D12"/>
    <mergeCell ref="A20:F20"/>
  </mergeCells>
  <dataValidations count="5">
    <dataValidation type="whole" sqref="B7" xr:uid="{00000000-0002-0000-0200-000000000000}">
      <formula1>2020</formula1>
      <formula2>2100</formula2>
    </dataValidation>
    <dataValidation type="whole" sqref="B8" xr:uid="{00000000-0002-0000-0200-000001000000}">
      <formula1>1</formula1>
      <formula2>12</formula2>
    </dataValidation>
    <dataValidation type="whole" sqref="B9" xr:uid="{00000000-0002-0000-0200-000002000000}">
      <formula1>1</formula1>
      <formula2>200</formula2>
    </dataValidation>
    <dataValidation type="decimal" sqref="B10" xr:uid="{00000000-0002-0000-0200-000003000000}">
      <formula1>0</formula1>
      <formula2>1</formula2>
    </dataValidation>
    <dataValidation type="whole" sqref="B14:B18" xr:uid="{00000000-0002-0000-0200-000004000000}">
      <formula1>0</formula1>
      <formula2>10000000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Registro diario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Esteban Reuto Romero</cp:lastModifiedBy>
  <dcterms:modified xsi:type="dcterms:W3CDTF">2026-06-14T03:08:44Z</dcterms:modified>
</cp:coreProperties>
</file>