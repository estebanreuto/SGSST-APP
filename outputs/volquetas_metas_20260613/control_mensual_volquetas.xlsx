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SGSST-APP/outputs/volquetas_metas_20260613/"/>
    </mc:Choice>
  </mc:AlternateContent>
  <xr:revisionPtr revIDLastSave="0" documentId="13_ncr:1_{8C55069C-B339-804C-9267-48A605469294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Resumen" sheetId="1" r:id="rId1"/>
    <sheet name="Registro diario" sheetId="2" r:id="rId2"/>
    <sheet name="Gastos volqueta" sheetId="3" r:id="rId3"/>
    <sheet name="Aportes tios" sheetId="4" r:id="rId4"/>
    <sheet name="Configurac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5" l="1"/>
  <c r="H205" i="4"/>
  <c r="B205" i="4"/>
  <c r="H204" i="4"/>
  <c r="B204" i="4"/>
  <c r="H203" i="4"/>
  <c r="B203" i="4"/>
  <c r="H202" i="4"/>
  <c r="B202" i="4"/>
  <c r="H201" i="4"/>
  <c r="B201" i="4"/>
  <c r="H200" i="4"/>
  <c r="B200" i="4"/>
  <c r="H199" i="4"/>
  <c r="B199" i="4"/>
  <c r="H198" i="4"/>
  <c r="B198" i="4"/>
  <c r="H197" i="4"/>
  <c r="B197" i="4"/>
  <c r="H196" i="4"/>
  <c r="B196" i="4"/>
  <c r="H195" i="4"/>
  <c r="B195" i="4"/>
  <c r="H194" i="4"/>
  <c r="B194" i="4"/>
  <c r="H193" i="4"/>
  <c r="B193" i="4"/>
  <c r="H192" i="4"/>
  <c r="B192" i="4"/>
  <c r="H191" i="4"/>
  <c r="B191" i="4"/>
  <c r="H190" i="4"/>
  <c r="B190" i="4"/>
  <c r="H189" i="4"/>
  <c r="B189" i="4"/>
  <c r="H188" i="4"/>
  <c r="B188" i="4"/>
  <c r="H187" i="4"/>
  <c r="B187" i="4"/>
  <c r="H186" i="4"/>
  <c r="B186" i="4"/>
  <c r="H185" i="4"/>
  <c r="B185" i="4"/>
  <c r="H184" i="4"/>
  <c r="B184" i="4"/>
  <c r="H183" i="4"/>
  <c r="B183" i="4"/>
  <c r="H182" i="4"/>
  <c r="B182" i="4"/>
  <c r="H181" i="4"/>
  <c r="B181" i="4"/>
  <c r="H180" i="4"/>
  <c r="B180" i="4"/>
  <c r="H179" i="4"/>
  <c r="B179" i="4"/>
  <c r="H178" i="4"/>
  <c r="B178" i="4"/>
  <c r="H177" i="4"/>
  <c r="B177" i="4"/>
  <c r="H176" i="4"/>
  <c r="B176" i="4"/>
  <c r="H175" i="4"/>
  <c r="B175" i="4"/>
  <c r="H174" i="4"/>
  <c r="B174" i="4"/>
  <c r="H173" i="4"/>
  <c r="B173" i="4"/>
  <c r="H172" i="4"/>
  <c r="B172" i="4"/>
  <c r="H171" i="4"/>
  <c r="B171" i="4"/>
  <c r="H170" i="4"/>
  <c r="B170" i="4"/>
  <c r="H169" i="4"/>
  <c r="B169" i="4"/>
  <c r="H168" i="4"/>
  <c r="B168" i="4"/>
  <c r="H167" i="4"/>
  <c r="B167" i="4"/>
  <c r="H166" i="4"/>
  <c r="B166" i="4"/>
  <c r="H165" i="4"/>
  <c r="B165" i="4"/>
  <c r="H164" i="4"/>
  <c r="B164" i="4"/>
  <c r="H163" i="4"/>
  <c r="B163" i="4"/>
  <c r="H162" i="4"/>
  <c r="B162" i="4"/>
  <c r="H161" i="4"/>
  <c r="B161" i="4"/>
  <c r="H160" i="4"/>
  <c r="B160" i="4"/>
  <c r="H159" i="4"/>
  <c r="B159" i="4"/>
  <c r="H158" i="4"/>
  <c r="B158" i="4"/>
  <c r="H157" i="4"/>
  <c r="B157" i="4"/>
  <c r="H156" i="4"/>
  <c r="B156" i="4"/>
  <c r="H155" i="4"/>
  <c r="B155" i="4"/>
  <c r="H154" i="4"/>
  <c r="B154" i="4"/>
  <c r="H153" i="4"/>
  <c r="B153" i="4"/>
  <c r="H152" i="4"/>
  <c r="B152" i="4"/>
  <c r="H151" i="4"/>
  <c r="B151" i="4"/>
  <c r="H150" i="4"/>
  <c r="B150" i="4"/>
  <c r="H149" i="4"/>
  <c r="B149" i="4"/>
  <c r="H148" i="4"/>
  <c r="B148" i="4"/>
  <c r="H147" i="4"/>
  <c r="B147" i="4"/>
  <c r="H146" i="4"/>
  <c r="B146" i="4"/>
  <c r="H145" i="4"/>
  <c r="B145" i="4"/>
  <c r="H144" i="4"/>
  <c r="B144" i="4"/>
  <c r="H143" i="4"/>
  <c r="B143" i="4"/>
  <c r="H142" i="4"/>
  <c r="B142" i="4"/>
  <c r="H141" i="4"/>
  <c r="B141" i="4"/>
  <c r="H140" i="4"/>
  <c r="B140" i="4"/>
  <c r="H139" i="4"/>
  <c r="B139" i="4"/>
  <c r="H138" i="4"/>
  <c r="B138" i="4"/>
  <c r="H137" i="4"/>
  <c r="B137" i="4"/>
  <c r="H136" i="4"/>
  <c r="B136" i="4"/>
  <c r="H135" i="4"/>
  <c r="B135" i="4"/>
  <c r="H134" i="4"/>
  <c r="B134" i="4"/>
  <c r="H133" i="4"/>
  <c r="B133" i="4"/>
  <c r="H132" i="4"/>
  <c r="B132" i="4"/>
  <c r="H131" i="4"/>
  <c r="B131" i="4"/>
  <c r="H130" i="4"/>
  <c r="B130" i="4"/>
  <c r="H129" i="4"/>
  <c r="B129" i="4"/>
  <c r="H128" i="4"/>
  <c r="B128" i="4"/>
  <c r="H127" i="4"/>
  <c r="B127" i="4"/>
  <c r="H126" i="4"/>
  <c r="B126" i="4"/>
  <c r="H125" i="4"/>
  <c r="B125" i="4"/>
  <c r="H124" i="4"/>
  <c r="B124" i="4"/>
  <c r="H123" i="4"/>
  <c r="B123" i="4"/>
  <c r="H122" i="4"/>
  <c r="B122" i="4"/>
  <c r="H121" i="4"/>
  <c r="B121" i="4"/>
  <c r="H120" i="4"/>
  <c r="B120" i="4"/>
  <c r="H119" i="4"/>
  <c r="B119" i="4"/>
  <c r="H118" i="4"/>
  <c r="B118" i="4"/>
  <c r="H117" i="4"/>
  <c r="B117" i="4"/>
  <c r="H116" i="4"/>
  <c r="B116" i="4"/>
  <c r="H115" i="4"/>
  <c r="B115" i="4"/>
  <c r="H114" i="4"/>
  <c r="B114" i="4"/>
  <c r="H113" i="4"/>
  <c r="B113" i="4"/>
  <c r="H112" i="4"/>
  <c r="B112" i="4"/>
  <c r="H111" i="4"/>
  <c r="B111" i="4"/>
  <c r="H110" i="4"/>
  <c r="B110" i="4"/>
  <c r="H109" i="4"/>
  <c r="B109" i="4"/>
  <c r="H108" i="4"/>
  <c r="B108" i="4"/>
  <c r="H107" i="4"/>
  <c r="B107" i="4"/>
  <c r="H106" i="4"/>
  <c r="B106" i="4"/>
  <c r="H105" i="4"/>
  <c r="B105" i="4"/>
  <c r="H104" i="4"/>
  <c r="B104" i="4"/>
  <c r="H103" i="4"/>
  <c r="B103" i="4"/>
  <c r="H102" i="4"/>
  <c r="B102" i="4"/>
  <c r="H101" i="4"/>
  <c r="B101" i="4"/>
  <c r="H100" i="4"/>
  <c r="B100" i="4"/>
  <c r="H99" i="4"/>
  <c r="B99" i="4"/>
  <c r="H98" i="4"/>
  <c r="B98" i="4"/>
  <c r="H97" i="4"/>
  <c r="B97" i="4"/>
  <c r="H96" i="4"/>
  <c r="B96" i="4"/>
  <c r="H95" i="4"/>
  <c r="B95" i="4"/>
  <c r="H94" i="4"/>
  <c r="B94" i="4"/>
  <c r="H93" i="4"/>
  <c r="B93" i="4"/>
  <c r="H92" i="4"/>
  <c r="B92" i="4"/>
  <c r="H91" i="4"/>
  <c r="B91" i="4"/>
  <c r="H90" i="4"/>
  <c r="B90" i="4"/>
  <c r="H89" i="4"/>
  <c r="B89" i="4"/>
  <c r="H88" i="4"/>
  <c r="B88" i="4"/>
  <c r="H87" i="4"/>
  <c r="B87" i="4"/>
  <c r="H86" i="4"/>
  <c r="B86" i="4"/>
  <c r="H85" i="4"/>
  <c r="B85" i="4"/>
  <c r="H84" i="4"/>
  <c r="B84" i="4"/>
  <c r="H83" i="4"/>
  <c r="B83" i="4"/>
  <c r="H82" i="4"/>
  <c r="B82" i="4"/>
  <c r="H81" i="4"/>
  <c r="B81" i="4"/>
  <c r="H80" i="4"/>
  <c r="B80" i="4"/>
  <c r="H79" i="4"/>
  <c r="B79" i="4"/>
  <c r="H78" i="4"/>
  <c r="B78" i="4"/>
  <c r="H77" i="4"/>
  <c r="B77" i="4"/>
  <c r="H76" i="4"/>
  <c r="B76" i="4"/>
  <c r="H75" i="4"/>
  <c r="B75" i="4"/>
  <c r="H74" i="4"/>
  <c r="B74" i="4"/>
  <c r="H73" i="4"/>
  <c r="B73" i="4"/>
  <c r="H72" i="4"/>
  <c r="B72" i="4"/>
  <c r="H71" i="4"/>
  <c r="B71" i="4"/>
  <c r="H70" i="4"/>
  <c r="B70" i="4"/>
  <c r="H69" i="4"/>
  <c r="B69" i="4"/>
  <c r="H68" i="4"/>
  <c r="B68" i="4"/>
  <c r="H67" i="4"/>
  <c r="B67" i="4"/>
  <c r="H66" i="4"/>
  <c r="B66" i="4"/>
  <c r="H65" i="4"/>
  <c r="B65" i="4"/>
  <c r="H64" i="4"/>
  <c r="B64" i="4"/>
  <c r="H63" i="4"/>
  <c r="B63" i="4"/>
  <c r="H62" i="4"/>
  <c r="B62" i="4"/>
  <c r="H61" i="4"/>
  <c r="B61" i="4"/>
  <c r="H60" i="4"/>
  <c r="B60" i="4"/>
  <c r="H59" i="4"/>
  <c r="B59" i="4"/>
  <c r="H58" i="4"/>
  <c r="B58" i="4"/>
  <c r="H57" i="4"/>
  <c r="B57" i="4"/>
  <c r="H56" i="4"/>
  <c r="B56" i="4"/>
  <c r="H55" i="4"/>
  <c r="B55" i="4"/>
  <c r="H54" i="4"/>
  <c r="B54" i="4"/>
  <c r="H53" i="4"/>
  <c r="B53" i="4"/>
  <c r="H52" i="4"/>
  <c r="B52" i="4"/>
  <c r="H51" i="4"/>
  <c r="B51" i="4"/>
  <c r="H50" i="4"/>
  <c r="B50" i="4"/>
  <c r="H49" i="4"/>
  <c r="B49" i="4"/>
  <c r="H48" i="4"/>
  <c r="B48" i="4"/>
  <c r="H47" i="4"/>
  <c r="B47" i="4"/>
  <c r="H46" i="4"/>
  <c r="B46" i="4"/>
  <c r="H45" i="4"/>
  <c r="B45" i="4"/>
  <c r="H44" i="4"/>
  <c r="B44" i="4"/>
  <c r="H43" i="4"/>
  <c r="B43" i="4"/>
  <c r="H42" i="4"/>
  <c r="B42" i="4"/>
  <c r="H41" i="4"/>
  <c r="B41" i="4"/>
  <c r="H40" i="4"/>
  <c r="B40" i="4"/>
  <c r="H39" i="4"/>
  <c r="B39" i="4"/>
  <c r="H38" i="4"/>
  <c r="B38" i="4"/>
  <c r="H37" i="4"/>
  <c r="B37" i="4"/>
  <c r="H36" i="4"/>
  <c r="B36" i="4"/>
  <c r="H35" i="4"/>
  <c r="B35" i="4"/>
  <c r="H34" i="4"/>
  <c r="B34" i="4"/>
  <c r="H33" i="4"/>
  <c r="B33" i="4"/>
  <c r="H32" i="4"/>
  <c r="B32" i="4"/>
  <c r="H31" i="4"/>
  <c r="B31" i="4"/>
  <c r="H30" i="4"/>
  <c r="B30" i="4"/>
  <c r="H29" i="4"/>
  <c r="B29" i="4"/>
  <c r="H28" i="4"/>
  <c r="B28" i="4"/>
  <c r="H27" i="4"/>
  <c r="B27" i="4"/>
  <c r="H26" i="4"/>
  <c r="B26" i="4"/>
  <c r="H25" i="4"/>
  <c r="B25" i="4"/>
  <c r="H24" i="4"/>
  <c r="B24" i="4"/>
  <c r="H23" i="4"/>
  <c r="B23" i="4"/>
  <c r="H22" i="4"/>
  <c r="B22" i="4"/>
  <c r="H21" i="4"/>
  <c r="B21" i="4"/>
  <c r="H20" i="4"/>
  <c r="B20" i="4"/>
  <c r="H19" i="4"/>
  <c r="B19" i="4"/>
  <c r="H18" i="4"/>
  <c r="B18" i="4"/>
  <c r="H17" i="4"/>
  <c r="B17" i="4"/>
  <c r="H16" i="4"/>
  <c r="B16" i="4"/>
  <c r="H15" i="4"/>
  <c r="B15" i="4"/>
  <c r="H14" i="4"/>
  <c r="B14" i="4"/>
  <c r="H13" i="4"/>
  <c r="B13" i="4"/>
  <c r="H12" i="4"/>
  <c r="B12" i="4"/>
  <c r="H11" i="4"/>
  <c r="B11" i="4"/>
  <c r="H10" i="4"/>
  <c r="B10" i="4"/>
  <c r="H9" i="4"/>
  <c r="B9" i="4"/>
  <c r="H8" i="4"/>
  <c r="B8" i="4"/>
  <c r="H7" i="4"/>
  <c r="B7" i="4"/>
  <c r="A3" i="4"/>
  <c r="I205" i="3"/>
  <c r="B205" i="3"/>
  <c r="I204" i="3"/>
  <c r="B204" i="3"/>
  <c r="I203" i="3"/>
  <c r="B203" i="3"/>
  <c r="I202" i="3"/>
  <c r="B202" i="3"/>
  <c r="I201" i="3"/>
  <c r="B201" i="3"/>
  <c r="I200" i="3"/>
  <c r="B200" i="3"/>
  <c r="I199" i="3"/>
  <c r="B199" i="3"/>
  <c r="I198" i="3"/>
  <c r="B198" i="3"/>
  <c r="I197" i="3"/>
  <c r="B197" i="3"/>
  <c r="I196" i="3"/>
  <c r="B196" i="3"/>
  <c r="I195" i="3"/>
  <c r="B195" i="3"/>
  <c r="I194" i="3"/>
  <c r="B194" i="3"/>
  <c r="I193" i="3"/>
  <c r="B193" i="3"/>
  <c r="I192" i="3"/>
  <c r="B192" i="3"/>
  <c r="I191" i="3"/>
  <c r="B191" i="3"/>
  <c r="I190" i="3"/>
  <c r="B190" i="3"/>
  <c r="I189" i="3"/>
  <c r="B189" i="3"/>
  <c r="I188" i="3"/>
  <c r="B188" i="3"/>
  <c r="I187" i="3"/>
  <c r="B187" i="3"/>
  <c r="I186" i="3"/>
  <c r="B186" i="3"/>
  <c r="I185" i="3"/>
  <c r="B185" i="3"/>
  <c r="I184" i="3"/>
  <c r="B184" i="3"/>
  <c r="I183" i="3"/>
  <c r="B183" i="3"/>
  <c r="I182" i="3"/>
  <c r="B182" i="3"/>
  <c r="I181" i="3"/>
  <c r="B181" i="3"/>
  <c r="I180" i="3"/>
  <c r="B180" i="3"/>
  <c r="I179" i="3"/>
  <c r="B179" i="3"/>
  <c r="I178" i="3"/>
  <c r="B178" i="3"/>
  <c r="I177" i="3"/>
  <c r="B177" i="3"/>
  <c r="I176" i="3"/>
  <c r="B176" i="3"/>
  <c r="I175" i="3"/>
  <c r="B175" i="3"/>
  <c r="I174" i="3"/>
  <c r="B174" i="3"/>
  <c r="I173" i="3"/>
  <c r="B173" i="3"/>
  <c r="I172" i="3"/>
  <c r="B172" i="3"/>
  <c r="I171" i="3"/>
  <c r="B171" i="3"/>
  <c r="I170" i="3"/>
  <c r="B170" i="3"/>
  <c r="I169" i="3"/>
  <c r="B169" i="3"/>
  <c r="I168" i="3"/>
  <c r="B168" i="3"/>
  <c r="I167" i="3"/>
  <c r="B167" i="3"/>
  <c r="I166" i="3"/>
  <c r="B166" i="3"/>
  <c r="I165" i="3"/>
  <c r="B165" i="3"/>
  <c r="I164" i="3"/>
  <c r="B164" i="3"/>
  <c r="I163" i="3"/>
  <c r="B163" i="3"/>
  <c r="I162" i="3"/>
  <c r="B162" i="3"/>
  <c r="I161" i="3"/>
  <c r="B161" i="3"/>
  <c r="I160" i="3"/>
  <c r="B160" i="3"/>
  <c r="I159" i="3"/>
  <c r="B159" i="3"/>
  <c r="I158" i="3"/>
  <c r="B158" i="3"/>
  <c r="I157" i="3"/>
  <c r="B157" i="3"/>
  <c r="I156" i="3"/>
  <c r="B156" i="3"/>
  <c r="I155" i="3"/>
  <c r="B155" i="3"/>
  <c r="I154" i="3"/>
  <c r="B154" i="3"/>
  <c r="I153" i="3"/>
  <c r="B153" i="3"/>
  <c r="I152" i="3"/>
  <c r="B152" i="3"/>
  <c r="I151" i="3"/>
  <c r="B151" i="3"/>
  <c r="I150" i="3"/>
  <c r="B150" i="3"/>
  <c r="I149" i="3"/>
  <c r="B149" i="3"/>
  <c r="I148" i="3"/>
  <c r="B148" i="3"/>
  <c r="I147" i="3"/>
  <c r="B147" i="3"/>
  <c r="I146" i="3"/>
  <c r="B146" i="3"/>
  <c r="I145" i="3"/>
  <c r="B145" i="3"/>
  <c r="I144" i="3"/>
  <c r="B144" i="3"/>
  <c r="I143" i="3"/>
  <c r="B143" i="3"/>
  <c r="I142" i="3"/>
  <c r="B142" i="3"/>
  <c r="I141" i="3"/>
  <c r="B141" i="3"/>
  <c r="I140" i="3"/>
  <c r="B140" i="3"/>
  <c r="I139" i="3"/>
  <c r="B139" i="3"/>
  <c r="I138" i="3"/>
  <c r="B138" i="3"/>
  <c r="I137" i="3"/>
  <c r="B137" i="3"/>
  <c r="I136" i="3"/>
  <c r="B136" i="3"/>
  <c r="I135" i="3"/>
  <c r="B135" i="3"/>
  <c r="I134" i="3"/>
  <c r="B134" i="3"/>
  <c r="I133" i="3"/>
  <c r="B133" i="3"/>
  <c r="I132" i="3"/>
  <c r="B132" i="3"/>
  <c r="I131" i="3"/>
  <c r="B131" i="3"/>
  <c r="I130" i="3"/>
  <c r="B130" i="3"/>
  <c r="I129" i="3"/>
  <c r="B129" i="3"/>
  <c r="I128" i="3"/>
  <c r="B128" i="3"/>
  <c r="I127" i="3"/>
  <c r="B127" i="3"/>
  <c r="I126" i="3"/>
  <c r="B126" i="3"/>
  <c r="I125" i="3"/>
  <c r="B125" i="3"/>
  <c r="I124" i="3"/>
  <c r="B124" i="3"/>
  <c r="I123" i="3"/>
  <c r="B123" i="3"/>
  <c r="I122" i="3"/>
  <c r="B122" i="3"/>
  <c r="I121" i="3"/>
  <c r="B121" i="3"/>
  <c r="I120" i="3"/>
  <c r="B120" i="3"/>
  <c r="I119" i="3"/>
  <c r="B119" i="3"/>
  <c r="I118" i="3"/>
  <c r="B118" i="3"/>
  <c r="I117" i="3"/>
  <c r="B117" i="3"/>
  <c r="I116" i="3"/>
  <c r="B116" i="3"/>
  <c r="I115" i="3"/>
  <c r="B115" i="3"/>
  <c r="I114" i="3"/>
  <c r="B114" i="3"/>
  <c r="I113" i="3"/>
  <c r="B113" i="3"/>
  <c r="I112" i="3"/>
  <c r="B112" i="3"/>
  <c r="I111" i="3"/>
  <c r="B111" i="3"/>
  <c r="I110" i="3"/>
  <c r="B110" i="3"/>
  <c r="I109" i="3"/>
  <c r="B109" i="3"/>
  <c r="I108" i="3"/>
  <c r="B108" i="3"/>
  <c r="I107" i="3"/>
  <c r="B107" i="3"/>
  <c r="I106" i="3"/>
  <c r="B106" i="3"/>
  <c r="I105" i="3"/>
  <c r="B105" i="3"/>
  <c r="I104" i="3"/>
  <c r="B104" i="3"/>
  <c r="I103" i="3"/>
  <c r="B103" i="3"/>
  <c r="I102" i="3"/>
  <c r="B102" i="3"/>
  <c r="I101" i="3"/>
  <c r="B101" i="3"/>
  <c r="I100" i="3"/>
  <c r="B100" i="3"/>
  <c r="I99" i="3"/>
  <c r="B99" i="3"/>
  <c r="I98" i="3"/>
  <c r="B98" i="3"/>
  <c r="I97" i="3"/>
  <c r="B97" i="3"/>
  <c r="I96" i="3"/>
  <c r="B96" i="3"/>
  <c r="I95" i="3"/>
  <c r="B95" i="3"/>
  <c r="I94" i="3"/>
  <c r="B94" i="3"/>
  <c r="I93" i="3"/>
  <c r="B93" i="3"/>
  <c r="I92" i="3"/>
  <c r="B92" i="3"/>
  <c r="I91" i="3"/>
  <c r="B91" i="3"/>
  <c r="I90" i="3"/>
  <c r="B90" i="3"/>
  <c r="I89" i="3"/>
  <c r="B89" i="3"/>
  <c r="I88" i="3"/>
  <c r="B88" i="3"/>
  <c r="I87" i="3"/>
  <c r="B87" i="3"/>
  <c r="I86" i="3"/>
  <c r="B86" i="3"/>
  <c r="I85" i="3"/>
  <c r="B85" i="3"/>
  <c r="I84" i="3"/>
  <c r="B84" i="3"/>
  <c r="I83" i="3"/>
  <c r="B83" i="3"/>
  <c r="I82" i="3"/>
  <c r="B82" i="3"/>
  <c r="I81" i="3"/>
  <c r="B81" i="3"/>
  <c r="I80" i="3"/>
  <c r="B80" i="3"/>
  <c r="I79" i="3"/>
  <c r="B79" i="3"/>
  <c r="I78" i="3"/>
  <c r="B78" i="3"/>
  <c r="I77" i="3"/>
  <c r="B77" i="3"/>
  <c r="I76" i="3"/>
  <c r="B76" i="3"/>
  <c r="I75" i="3"/>
  <c r="B75" i="3"/>
  <c r="I74" i="3"/>
  <c r="B74" i="3"/>
  <c r="I73" i="3"/>
  <c r="B73" i="3"/>
  <c r="I72" i="3"/>
  <c r="B72" i="3"/>
  <c r="I71" i="3"/>
  <c r="B71" i="3"/>
  <c r="I70" i="3"/>
  <c r="B70" i="3"/>
  <c r="I69" i="3"/>
  <c r="B69" i="3"/>
  <c r="I68" i="3"/>
  <c r="B68" i="3"/>
  <c r="I67" i="3"/>
  <c r="B67" i="3"/>
  <c r="I66" i="3"/>
  <c r="B66" i="3"/>
  <c r="I65" i="3"/>
  <c r="B65" i="3"/>
  <c r="I64" i="3"/>
  <c r="B64" i="3"/>
  <c r="I63" i="3"/>
  <c r="B63" i="3"/>
  <c r="I62" i="3"/>
  <c r="B62" i="3"/>
  <c r="I61" i="3"/>
  <c r="B61" i="3"/>
  <c r="I60" i="3"/>
  <c r="B60" i="3"/>
  <c r="I59" i="3"/>
  <c r="B59" i="3"/>
  <c r="I58" i="3"/>
  <c r="B58" i="3"/>
  <c r="I57" i="3"/>
  <c r="B57" i="3"/>
  <c r="I56" i="3"/>
  <c r="B56" i="3"/>
  <c r="I55" i="3"/>
  <c r="B55" i="3"/>
  <c r="I54" i="3"/>
  <c r="B54" i="3"/>
  <c r="I53" i="3"/>
  <c r="B53" i="3"/>
  <c r="I52" i="3"/>
  <c r="B52" i="3"/>
  <c r="I51" i="3"/>
  <c r="B51" i="3"/>
  <c r="I50" i="3"/>
  <c r="B50" i="3"/>
  <c r="I49" i="3"/>
  <c r="B49" i="3"/>
  <c r="I48" i="3"/>
  <c r="B48" i="3"/>
  <c r="I47" i="3"/>
  <c r="B47" i="3"/>
  <c r="I46" i="3"/>
  <c r="B46" i="3"/>
  <c r="I45" i="3"/>
  <c r="B45" i="3"/>
  <c r="I44" i="3"/>
  <c r="B44" i="3"/>
  <c r="I43" i="3"/>
  <c r="B43" i="3"/>
  <c r="I42" i="3"/>
  <c r="B42" i="3"/>
  <c r="I41" i="3"/>
  <c r="B41" i="3"/>
  <c r="I40" i="3"/>
  <c r="B40" i="3"/>
  <c r="I39" i="3"/>
  <c r="B39" i="3"/>
  <c r="I38" i="3"/>
  <c r="B38" i="3"/>
  <c r="I37" i="3"/>
  <c r="B37" i="3"/>
  <c r="I36" i="3"/>
  <c r="B36" i="3"/>
  <c r="I35" i="3"/>
  <c r="B35" i="3"/>
  <c r="I34" i="3"/>
  <c r="B34" i="3"/>
  <c r="I33" i="3"/>
  <c r="B33" i="3"/>
  <c r="I32" i="3"/>
  <c r="B32" i="3"/>
  <c r="I31" i="3"/>
  <c r="B31" i="3"/>
  <c r="I30" i="3"/>
  <c r="B30" i="3"/>
  <c r="I29" i="3"/>
  <c r="B29" i="3"/>
  <c r="I28" i="3"/>
  <c r="B28" i="3"/>
  <c r="I27" i="3"/>
  <c r="B27" i="3"/>
  <c r="I26" i="3"/>
  <c r="B26" i="3"/>
  <c r="I25" i="3"/>
  <c r="B25" i="3"/>
  <c r="I24" i="3"/>
  <c r="B24" i="3"/>
  <c r="I23" i="3"/>
  <c r="B23" i="3"/>
  <c r="I22" i="3"/>
  <c r="B22" i="3"/>
  <c r="I21" i="3"/>
  <c r="B21" i="3"/>
  <c r="I20" i="3"/>
  <c r="B20" i="3"/>
  <c r="I19" i="3"/>
  <c r="B19" i="3"/>
  <c r="I18" i="3"/>
  <c r="B18" i="3"/>
  <c r="I17" i="3"/>
  <c r="B17" i="3"/>
  <c r="I16" i="3"/>
  <c r="B16" i="3"/>
  <c r="I15" i="3"/>
  <c r="B15" i="3"/>
  <c r="I14" i="3"/>
  <c r="B14" i="3"/>
  <c r="I13" i="3"/>
  <c r="B13" i="3"/>
  <c r="I12" i="3"/>
  <c r="B12" i="3"/>
  <c r="I11" i="3"/>
  <c r="B11" i="3"/>
  <c r="I10" i="3"/>
  <c r="B10" i="3"/>
  <c r="I9" i="3"/>
  <c r="B9" i="3"/>
  <c r="I8" i="3"/>
  <c r="B8" i="3"/>
  <c r="I7" i="3"/>
  <c r="B7" i="3"/>
  <c r="A3" i="3"/>
  <c r="A37" i="2"/>
  <c r="N37" i="2" s="1"/>
  <c r="A36" i="2"/>
  <c r="A35" i="2"/>
  <c r="I35" i="2" s="1"/>
  <c r="A34" i="2"/>
  <c r="A33" i="2"/>
  <c r="M33" i="2" s="1"/>
  <c r="A32" i="2"/>
  <c r="C31" i="2"/>
  <c r="A31" i="2"/>
  <c r="I31" i="2" s="1"/>
  <c r="J30" i="2"/>
  <c r="A30" i="2"/>
  <c r="K30" i="2" s="1"/>
  <c r="A29" i="2"/>
  <c r="M29" i="2" s="1"/>
  <c r="A28" i="2"/>
  <c r="J27" i="2"/>
  <c r="C27" i="2"/>
  <c r="A27" i="2"/>
  <c r="I27" i="2" s="1"/>
  <c r="J26" i="2"/>
  <c r="C26" i="2"/>
  <c r="A26" i="2"/>
  <c r="A25" i="2"/>
  <c r="M25" i="2" s="1"/>
  <c r="A24" i="2"/>
  <c r="J23" i="2"/>
  <c r="C23" i="2"/>
  <c r="A23" i="2"/>
  <c r="I23" i="2" s="1"/>
  <c r="A22" i="2"/>
  <c r="K22" i="2" s="1"/>
  <c r="A21" i="2"/>
  <c r="M21" i="2" s="1"/>
  <c r="A20" i="2"/>
  <c r="J19" i="2"/>
  <c r="C19" i="2"/>
  <c r="A19" i="2"/>
  <c r="I19" i="2" s="1"/>
  <c r="J18" i="2"/>
  <c r="C18" i="2"/>
  <c r="A18" i="2"/>
  <c r="A17" i="2"/>
  <c r="M17" i="2" s="1"/>
  <c r="A16" i="2"/>
  <c r="J15" i="2"/>
  <c r="C15" i="2"/>
  <c r="A15" i="2"/>
  <c r="I15" i="2" s="1"/>
  <c r="J14" i="2"/>
  <c r="C14" i="2"/>
  <c r="A14" i="2"/>
  <c r="K14" i="2" s="1"/>
  <c r="A13" i="2"/>
  <c r="M13" i="2" s="1"/>
  <c r="A12" i="2"/>
  <c r="J11" i="2"/>
  <c r="C11" i="2"/>
  <c r="A11" i="2"/>
  <c r="I11" i="2" s="1"/>
  <c r="J10" i="2"/>
  <c r="C10" i="2"/>
  <c r="A10" i="2"/>
  <c r="K10" i="2" s="1"/>
  <c r="A9" i="2"/>
  <c r="M9" i="2" s="1"/>
  <c r="A8" i="2"/>
  <c r="J7" i="2"/>
  <c r="C7" i="2"/>
  <c r="A7" i="2"/>
  <c r="I7" i="2" s="1"/>
  <c r="A3" i="2"/>
  <c r="A64" i="1"/>
  <c r="B64" i="1" s="1"/>
  <c r="B63" i="1"/>
  <c r="A63" i="1"/>
  <c r="A62" i="1"/>
  <c r="B62" i="1" s="1"/>
  <c r="B61" i="1"/>
  <c r="A61" i="1"/>
  <c r="A60" i="1"/>
  <c r="B60" i="1" s="1"/>
  <c r="B59" i="1"/>
  <c r="A59" i="1"/>
  <c r="A58" i="1"/>
  <c r="B58" i="1" s="1"/>
  <c r="B57" i="1"/>
  <c r="A57" i="1"/>
  <c r="A56" i="1"/>
  <c r="B56" i="1" s="1"/>
  <c r="B55" i="1"/>
  <c r="A55" i="1"/>
  <c r="A54" i="1"/>
  <c r="B54" i="1" s="1"/>
  <c r="B53" i="1"/>
  <c r="A53" i="1"/>
  <c r="A52" i="1"/>
  <c r="B52" i="1" s="1"/>
  <c r="B51" i="1"/>
  <c r="A51" i="1"/>
  <c r="A50" i="1"/>
  <c r="B50" i="1" s="1"/>
  <c r="B49" i="1"/>
  <c r="A49" i="1"/>
  <c r="A48" i="1"/>
  <c r="B48" i="1" s="1"/>
  <c r="B47" i="1"/>
  <c r="A47" i="1"/>
  <c r="A46" i="1"/>
  <c r="B46" i="1" s="1"/>
  <c r="D40" i="1"/>
  <c r="B40" i="1"/>
  <c r="D39" i="1"/>
  <c r="D41" i="1" s="1"/>
  <c r="B39" i="1"/>
  <c r="B41" i="1" s="1"/>
  <c r="D35" i="1"/>
  <c r="A35" i="1"/>
  <c r="C58" i="1" s="1"/>
  <c r="C29" i="1"/>
  <c r="B29" i="1"/>
  <c r="D29" i="1" s="1"/>
  <c r="C28" i="1"/>
  <c r="B28" i="1"/>
  <c r="D28" i="1" s="1"/>
  <c r="C27" i="1"/>
  <c r="B27" i="1"/>
  <c r="C26" i="1"/>
  <c r="B26" i="1"/>
  <c r="D26" i="1" s="1"/>
  <c r="C25" i="1"/>
  <c r="D25" i="1" s="1"/>
  <c r="B25" i="1"/>
  <c r="A3" i="1"/>
  <c r="B30" i="1" l="1"/>
  <c r="D27" i="1"/>
  <c r="O24" i="2"/>
  <c r="D30" i="1"/>
  <c r="O12" i="2"/>
  <c r="C8" i="2"/>
  <c r="N9" i="2"/>
  <c r="C12" i="2"/>
  <c r="K32" i="2" s="1"/>
  <c r="N13" i="2"/>
  <c r="C16" i="2"/>
  <c r="N17" i="2"/>
  <c r="C20" i="2"/>
  <c r="N21" i="2"/>
  <c r="C24" i="2"/>
  <c r="L24" i="2" s="1"/>
  <c r="N25" i="2"/>
  <c r="C28" i="2"/>
  <c r="N29" i="2"/>
  <c r="J31" i="2"/>
  <c r="C32" i="2"/>
  <c r="N33" i="2"/>
  <c r="J35" i="2"/>
  <c r="C36" i="2"/>
  <c r="C39" i="1"/>
  <c r="C53" i="1"/>
  <c r="C61" i="1"/>
  <c r="K7" i="2"/>
  <c r="I8" i="2"/>
  <c r="B9" i="2"/>
  <c r="M10" i="2"/>
  <c r="I12" i="2"/>
  <c r="B13" i="2"/>
  <c r="M14" i="2"/>
  <c r="N14" i="2" s="1"/>
  <c r="K15" i="2"/>
  <c r="I16" i="2"/>
  <c r="B17" i="2"/>
  <c r="M18" i="2"/>
  <c r="I20" i="2"/>
  <c r="B21" i="2"/>
  <c r="M22" i="2"/>
  <c r="N22" i="2" s="1"/>
  <c r="K23" i="2"/>
  <c r="I24" i="2"/>
  <c r="B25" i="2"/>
  <c r="M26" i="2"/>
  <c r="N26" i="2" s="1"/>
  <c r="I28" i="2"/>
  <c r="O28" i="2" s="1"/>
  <c r="B29" i="2"/>
  <c r="M30" i="2"/>
  <c r="K31" i="2"/>
  <c r="I32" i="2"/>
  <c r="O32" i="2" s="1"/>
  <c r="B33" i="2"/>
  <c r="M34" i="2"/>
  <c r="N34" i="2" s="1"/>
  <c r="K35" i="2"/>
  <c r="I36" i="2"/>
  <c r="O36" i="2" s="1"/>
  <c r="B37" i="2"/>
  <c r="O37" i="2"/>
  <c r="C48" i="1"/>
  <c r="C56" i="1"/>
  <c r="J24" i="2"/>
  <c r="C25" i="2"/>
  <c r="J28" i="2"/>
  <c r="C29" i="2"/>
  <c r="J36" i="2"/>
  <c r="C37" i="2"/>
  <c r="C64" i="1"/>
  <c r="J8" i="2"/>
  <c r="A6" i="1" s="1"/>
  <c r="C9" i="2"/>
  <c r="N10" i="2"/>
  <c r="J12" i="2"/>
  <c r="L11" i="2" s="1"/>
  <c r="C13" i="2"/>
  <c r="J16" i="2"/>
  <c r="C17" i="2"/>
  <c r="N18" i="2"/>
  <c r="J20" i="2"/>
  <c r="B16" i="1" s="1"/>
  <c r="C21" i="2"/>
  <c r="N30" i="2"/>
  <c r="J32" i="2"/>
  <c r="C33" i="2"/>
  <c r="C51" i="1"/>
  <c r="C59" i="1"/>
  <c r="M7" i="2"/>
  <c r="K8" i="2"/>
  <c r="I9" i="2"/>
  <c r="O9" i="2" s="1"/>
  <c r="B10" i="2"/>
  <c r="M11" i="2"/>
  <c r="I13" i="2"/>
  <c r="O13" i="2" s="1"/>
  <c r="B14" i="2"/>
  <c r="O14" i="2"/>
  <c r="M15" i="2"/>
  <c r="N15" i="2" s="1"/>
  <c r="K16" i="2"/>
  <c r="I17" i="2"/>
  <c r="B18" i="2"/>
  <c r="M19" i="2"/>
  <c r="N19" i="2" s="1"/>
  <c r="I21" i="2"/>
  <c r="B22" i="2"/>
  <c r="M23" i="2"/>
  <c r="K24" i="2"/>
  <c r="I25" i="2"/>
  <c r="O25" i="2" s="1"/>
  <c r="B26" i="2"/>
  <c r="O26" i="2"/>
  <c r="M27" i="2"/>
  <c r="N27" i="2" s="1"/>
  <c r="K28" i="2"/>
  <c r="I29" i="2"/>
  <c r="O29" i="2" s="1"/>
  <c r="B30" i="2"/>
  <c r="M31" i="2"/>
  <c r="I33" i="2"/>
  <c r="O33" i="2" s="1"/>
  <c r="B34" i="2"/>
  <c r="O34" i="2"/>
  <c r="M35" i="2"/>
  <c r="K36" i="2"/>
  <c r="I37" i="2"/>
  <c r="J9" i="2"/>
  <c r="K13" i="2" s="1"/>
  <c r="N11" i="2"/>
  <c r="L12" i="2"/>
  <c r="J13" i="2"/>
  <c r="J17" i="2"/>
  <c r="J21" i="2"/>
  <c r="L23" i="2" s="1"/>
  <c r="C22" i="2"/>
  <c r="L35" i="2" s="1"/>
  <c r="N23" i="2"/>
  <c r="J25" i="2"/>
  <c r="J29" i="2"/>
  <c r="C30" i="2"/>
  <c r="N35" i="2"/>
  <c r="L36" i="2"/>
  <c r="J37" i="2"/>
  <c r="F39" i="1"/>
  <c r="C46" i="1"/>
  <c r="C54" i="1"/>
  <c r="C62" i="1"/>
  <c r="N31" i="2"/>
  <c r="L32" i="2"/>
  <c r="J33" i="2"/>
  <c r="C34" i="2"/>
  <c r="K34" i="2" s="1"/>
  <c r="C49" i="1"/>
  <c r="C57" i="1"/>
  <c r="B7" i="2"/>
  <c r="O7" i="2"/>
  <c r="M8" i="2"/>
  <c r="K9" i="2"/>
  <c r="I10" i="2"/>
  <c r="O10" i="2" s="1"/>
  <c r="B11" i="2"/>
  <c r="O11" i="2"/>
  <c r="M12" i="2"/>
  <c r="N12" i="2" s="1"/>
  <c r="I14" i="2"/>
  <c r="B15" i="2"/>
  <c r="O15" i="2"/>
  <c r="M16" i="2"/>
  <c r="K17" i="2"/>
  <c r="I18" i="2"/>
  <c r="B19" i="2"/>
  <c r="M20" i="2"/>
  <c r="N20" i="2" s="1"/>
  <c r="K21" i="2"/>
  <c r="I22" i="2"/>
  <c r="O22" i="2" s="1"/>
  <c r="B23" i="2"/>
  <c r="O23" i="2"/>
  <c r="M24" i="2"/>
  <c r="I26" i="2"/>
  <c r="B27" i="2"/>
  <c r="O27" i="2"/>
  <c r="M28" i="2"/>
  <c r="N28" i="2" s="1"/>
  <c r="K29" i="2"/>
  <c r="I30" i="2"/>
  <c r="O30" i="2" s="1"/>
  <c r="B31" i="2"/>
  <c r="O31" i="2"/>
  <c r="M32" i="2"/>
  <c r="I34" i="2"/>
  <c r="B35" i="2"/>
  <c r="O35" i="2"/>
  <c r="M36" i="2"/>
  <c r="K37" i="2"/>
  <c r="C52" i="1"/>
  <c r="C60" i="1"/>
  <c r="N36" i="2"/>
  <c r="L37" i="2"/>
  <c r="N8" i="2"/>
  <c r="N16" i="2"/>
  <c r="J22" i="2"/>
  <c r="N24" i="2"/>
  <c r="N32" i="2"/>
  <c r="L33" i="2"/>
  <c r="J34" i="2"/>
  <c r="C35" i="2"/>
  <c r="F19" i="1"/>
  <c r="C40" i="1"/>
  <c r="E40" i="1" s="1"/>
  <c r="C47" i="1"/>
  <c r="C55" i="1"/>
  <c r="C63" i="1"/>
  <c r="B8" i="2"/>
  <c r="B12" i="2"/>
  <c r="B16" i="2"/>
  <c r="B20" i="2"/>
  <c r="B24" i="2"/>
  <c r="B28" i="2"/>
  <c r="B32" i="2"/>
  <c r="B36" i="2"/>
  <c r="M37" i="2"/>
  <c r="C50" i="1"/>
  <c r="D6" i="1" l="1"/>
  <c r="G6" i="1" s="1"/>
  <c r="O20" i="2"/>
  <c r="O17" i="2"/>
  <c r="J16" i="1"/>
  <c r="I6" i="1"/>
  <c r="F20" i="1"/>
  <c r="L10" i="2"/>
  <c r="O8" i="2"/>
  <c r="G10" i="1"/>
  <c r="I10" i="1" s="1"/>
  <c r="L19" i="2"/>
  <c r="O19" i="2" s="1"/>
  <c r="L34" i="2"/>
  <c r="K33" i="2"/>
  <c r="L20" i="2"/>
  <c r="A10" i="1"/>
  <c r="L22" i="2"/>
  <c r="L9" i="2"/>
  <c r="L28" i="2"/>
  <c r="K19" i="2"/>
  <c r="G20" i="1"/>
  <c r="G16" i="1"/>
  <c r="C18" i="1"/>
  <c r="K18" i="1" s="1"/>
  <c r="C19" i="1"/>
  <c r="K19" i="1" s="1"/>
  <c r="C16" i="1"/>
  <c r="K16" i="1" s="1"/>
  <c r="C20" i="1"/>
  <c r="K20" i="1" s="1"/>
  <c r="C17" i="1"/>
  <c r="K17" i="1" s="1"/>
  <c r="G19" i="1"/>
  <c r="G18" i="1"/>
  <c r="G17" i="1"/>
  <c r="F40" i="1"/>
  <c r="C15" i="1"/>
  <c r="K15" i="1" s="1"/>
  <c r="G40" i="1"/>
  <c r="B17" i="1"/>
  <c r="L30" i="2"/>
  <c r="B15" i="1"/>
  <c r="F17" i="1"/>
  <c r="L8" i="2"/>
  <c r="L17" i="2"/>
  <c r="N7" i="2"/>
  <c r="K12" i="2"/>
  <c r="F15" i="1"/>
  <c r="L16" i="2"/>
  <c r="O16" i="2" s="1"/>
  <c r="B20" i="1"/>
  <c r="L31" i="2"/>
  <c r="L15" i="2"/>
  <c r="L7" i="2"/>
  <c r="L27" i="2"/>
  <c r="F18" i="1"/>
  <c r="K20" i="2"/>
  <c r="K27" i="2"/>
  <c r="L29" i="2"/>
  <c r="F16" i="1"/>
  <c r="K25" i="2"/>
  <c r="F41" i="1"/>
  <c r="B19" i="1"/>
  <c r="K11" i="2"/>
  <c r="C41" i="1"/>
  <c r="E39" i="1"/>
  <c r="K26" i="2"/>
  <c r="K18" i="2"/>
  <c r="B18" i="1"/>
  <c r="L21" i="2"/>
  <c r="O21" i="2" s="1"/>
  <c r="L13" i="2"/>
  <c r="L25" i="2"/>
  <c r="L26" i="2"/>
  <c r="L14" i="2"/>
  <c r="L18" i="2"/>
  <c r="O18" i="2" s="1"/>
  <c r="E17" i="1" l="1"/>
  <c r="D17" i="1"/>
  <c r="J17" i="1"/>
  <c r="E19" i="1"/>
  <c r="D19" i="1"/>
  <c r="J19" i="1"/>
  <c r="D10" i="1"/>
  <c r="G15" i="1"/>
  <c r="E18" i="1"/>
  <c r="D18" i="1"/>
  <c r="J18" i="1"/>
  <c r="E20" i="1"/>
  <c r="D20" i="1"/>
  <c r="J20" i="1"/>
  <c r="E15" i="1"/>
  <c r="D15" i="1"/>
  <c r="J15" i="1"/>
  <c r="D16" i="1"/>
  <c r="E41" i="1"/>
  <c r="G41" i="1" s="1"/>
  <c r="G39" i="1"/>
  <c r="E16" i="1"/>
  <c r="I35" i="1" l="1"/>
  <c r="G35" i="1"/>
</calcChain>
</file>

<file path=xl/sharedStrings.xml><?xml version="1.0" encoding="utf-8"?>
<sst xmlns="http://schemas.openxmlformats.org/spreadsheetml/2006/main" count="386" uniqueCount="138">
  <si>
    <t>RESUMEN MENSUAL - VOLQUETAS</t>
  </si>
  <si>
    <t>META MENSUAL</t>
  </si>
  <si>
    <t>VIAJES REALIZADOS</t>
  </si>
  <si>
    <t>VIAJES PENDIENTES</t>
  </si>
  <si>
    <t>AVANCE DE META</t>
  </si>
  <si>
    <t>VALOR BRUTO</t>
  </si>
  <si>
    <t>MI GANANCIA (22%)</t>
  </si>
  <si>
    <t>DIAS TRABAJADOS</t>
  </si>
  <si>
    <t>PROMEDIO POR DIA</t>
  </si>
  <si>
    <t>RESUMEN POR SEMANA</t>
  </si>
  <si>
    <t>Semana</t>
  </si>
  <si>
    <t>Meta</t>
  </si>
  <si>
    <t>Realizados</t>
  </si>
  <si>
    <t>Pendientes</t>
  </si>
  <si>
    <t>% Cumplido</t>
  </si>
  <si>
    <t>Valor bruto</t>
  </si>
  <si>
    <t>Mi 22%</t>
  </si>
  <si>
    <t>Semana 1</t>
  </si>
  <si>
    <t>S1</t>
  </si>
  <si>
    <t>Semana 2</t>
  </si>
  <si>
    <t>S2</t>
  </si>
  <si>
    <t>Semana 3</t>
  </si>
  <si>
    <t>S3</t>
  </si>
  <si>
    <t>Semana 4</t>
  </si>
  <si>
    <t>S4</t>
  </si>
  <si>
    <t>Semana 5</t>
  </si>
  <si>
    <t>S5</t>
  </si>
  <si>
    <t>Semana 6</t>
  </si>
  <si>
    <t>S6</t>
  </si>
  <si>
    <t>DETALLE POR RUTA</t>
  </si>
  <si>
    <t>Ruta</t>
  </si>
  <si>
    <t>Viajes</t>
  </si>
  <si>
    <t>Tarifa</t>
  </si>
  <si>
    <t>Valor generado</t>
  </si>
  <si>
    <t>Rio a trituradora</t>
  </si>
  <si>
    <t>Rio a stock</t>
  </si>
  <si>
    <t>Stock a trituradora</t>
  </si>
  <si>
    <t>Trituradora a stock</t>
  </si>
  <si>
    <t>Stock a stock</t>
  </si>
  <si>
    <t>TOTAL</t>
  </si>
  <si>
    <t>FINANZAS DEL MES</t>
  </si>
  <si>
    <t>GASTOS VOLQUETA</t>
  </si>
  <si>
    <t>APORTES RECIBIDOS</t>
  </si>
  <si>
    <t>RESULTADO CAJA</t>
  </si>
  <si>
    <t>GANANCIA - GASTOS</t>
  </si>
  <si>
    <t>Tio</t>
  </si>
  <si>
    <t>% cubre</t>
  </si>
  <si>
    <t>Debe cubrir</t>
  </si>
  <si>
    <t>Ya envio</t>
  </si>
  <si>
    <t>Falta por enviar</t>
  </si>
  <si>
    <t>Saldo a favor</t>
  </si>
  <si>
    <t>Estado</t>
  </si>
  <si>
    <t>Nota</t>
  </si>
  <si>
    <t>Juancho</t>
  </si>
  <si>
    <t>Beto</t>
  </si>
  <si>
    <t>GASTOS POR CATEGORIA</t>
  </si>
  <si>
    <t>Categoria</t>
  </si>
  <si>
    <t>Total gasto</t>
  </si>
  <si>
    <t>% del gasto</t>
  </si>
  <si>
    <t>Lectura rapida: si Viajes pendientes llega a 0, cumpliste la meta mensual. En Finanzas, 'Falta por enviar' muestra cuanto debe mandar cada tio segun los gastos anotados y el reparto configurado.</t>
  </si>
  <si>
    <t>REGISTRO DIARIO DE VIAJES</t>
  </si>
  <si>
    <t>Meta: 20 viajes de lunes a jueves. Los viajes pendientes se distribuyen automaticamente entre viernes, sabado y domingo.</t>
  </si>
  <si>
    <t>Fecha</t>
  </si>
  <si>
    <t>Dia</t>
  </si>
  <si>
    <t>Total viajes</t>
  </si>
  <si>
    <t>Meta base L-J</t>
  </si>
  <si>
    <t>Meta sugerida hoy</t>
  </si>
  <si>
    <t>Faltan semana</t>
  </si>
  <si>
    <t>Observaciones</t>
  </si>
  <si>
    <t>GASTOS DE LA VOLQUETA</t>
  </si>
  <si>
    <t>Tip: usa una fila por factura, recibo, tanqueo, arreglo o gasto. El resumen toma solo el mes seleccionado en Configuracion.</t>
  </si>
  <si>
    <t>Mes</t>
  </si>
  <si>
    <t>Detalle</t>
  </si>
  <si>
    <t>Valor</t>
  </si>
  <si>
    <t>Pagado por</t>
  </si>
  <si>
    <t>Medio pago</t>
  </si>
  <si>
    <t>Año</t>
  </si>
  <si>
    <t>APORTES / ENVIOS DE TIOS</t>
  </si>
  <si>
    <t>El resumen compara lo que deberia enviar cada tio contra lo que realmente envio en este mes.</t>
  </si>
  <si>
    <t>Concepto</t>
  </si>
  <si>
    <t>Valor enviado</t>
  </si>
  <si>
    <t>Medio envio</t>
  </si>
  <si>
    <t>CONFIGURACION - CONTROL DE VOLQUETAS</t>
  </si>
  <si>
    <t>Cambia solamente las celdas amarillas con letra azul. El resto del archivo se actualiza automaticamente.</t>
  </si>
  <si>
    <t>PARAMETROS DEL MES</t>
  </si>
  <si>
    <t>LISTAS EDITABLES</t>
  </si>
  <si>
    <t>Parametro</t>
  </si>
  <si>
    <t>Categoria gasto</t>
  </si>
  <si>
    <t>Medio pago/envio</t>
  </si>
  <si>
    <t>ACPM</t>
  </si>
  <si>
    <t>Mi bolsillo</t>
  </si>
  <si>
    <t>Nequi</t>
  </si>
  <si>
    <t>Mes (1 a 12)</t>
  </si>
  <si>
    <t>Mantenimiento</t>
  </si>
  <si>
    <t>Daviplata</t>
  </si>
  <si>
    <t>Meta diaria lunes a jueves</t>
  </si>
  <si>
    <t>Llantas</t>
  </si>
  <si>
    <t>Davivienda</t>
  </si>
  <si>
    <t>Porcentaje para mi</t>
  </si>
  <si>
    <t>Aceite</t>
  </si>
  <si>
    <t>Caja</t>
  </si>
  <si>
    <t>Bancolombia</t>
  </si>
  <si>
    <t>Lavadero</t>
  </si>
  <si>
    <t>Otro</t>
  </si>
  <si>
    <t>Efectivo</t>
  </si>
  <si>
    <t>TARIFAS POR VIAJE</t>
  </si>
  <si>
    <t>Peajes</t>
  </si>
  <si>
    <t>Transferencia</t>
  </si>
  <si>
    <t>Parqueadero</t>
  </si>
  <si>
    <t>Banco</t>
  </si>
  <si>
    <t>Valor segun relacion de viajes</t>
  </si>
  <si>
    <t>Reparacion</t>
  </si>
  <si>
    <t>Valor por cada viaje</t>
  </si>
  <si>
    <t>Alimentacion</t>
  </si>
  <si>
    <t>Stock/STOP a trituradora</t>
  </si>
  <si>
    <t>Documentos</t>
  </si>
  <si>
    <t>Trituradora a stock/STOP</t>
  </si>
  <si>
    <t>Impuestos</t>
  </si>
  <si>
    <t>Stock/STOP a stock/STOP</t>
  </si>
  <si>
    <t>Seguro</t>
  </si>
  <si>
    <t>Multas</t>
  </si>
  <si>
    <t>REPARTO DE GASTOS ENTRE TIOS</t>
  </si>
  <si>
    <t>Grua</t>
  </si>
  <si>
    <t>Persona</t>
  </si>
  <si>
    <t>% que cubre</t>
  </si>
  <si>
    <t>Lavada</t>
  </si>
  <si>
    <t>Editable</t>
  </si>
  <si>
    <t>Repuestos</t>
  </si>
  <si>
    <t>Mano de obra</t>
  </si>
  <si>
    <t>Total reparto</t>
  </si>
  <si>
    <t>Prestamo</t>
  </si>
  <si>
    <t>COMO USAR EL ARCHIVO</t>
  </si>
  <si>
    <t>1. Selecciona el año y el mes en esta hoja.</t>
  </si>
  <si>
    <t>2. En Registro diario escribe la cantidad de viajes de cada ruta.</t>
  </si>
  <si>
    <t>3. En Gastos volqueta anota cada egreso con fecha, categoria y valor.</t>
  </si>
  <si>
    <t>4. En Aportes tios anota lo que envien Juancho y Beto.</t>
  </si>
  <si>
    <t>5. El resumen calcula ingresos, gastos, saldos pendientes y lo que falta por enviar.</t>
  </si>
  <si>
    <t>6. La meta normal es de lunes a jueves; el atraso se reparte entre viernes, sabado y domingo.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</si>
</sst>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\(#,##0\);\-"/>
    <numFmt numFmtId="165" formatCode="0.0%;[Red]\(0.0%\);\-"/>
    <numFmt numFmtId="166" formatCode="\$#,##0;[Red]\(\$#,##0\);\-"/>
    <numFmt numFmtId="167" formatCode="dd\-mmm\-yyyy"/>
    <numFmt numFmtId="168" formatCode="0.0"/>
  </numFmts>
  <fonts count="26">
    <font>
      <sz val="11"/>
      <name val="Carlito"/>
    </font>
    <font>
      <b/>
      <sz val="18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0"/>
      <color rgb="FF17365D"/>
      <name val="Calibri"/>
      <family val="2"/>
      <scheme val="minor"/>
    </font>
    <font>
      <b/>
      <sz val="16"/>
      <color rgb="FF008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"/>
      <color rgb="FFFFFFFF"/>
      <name val="Calibri"/>
      <family val="2"/>
      <scheme val="minor"/>
    </font>
    <font>
      <b/>
      <sz val="11"/>
      <color rgb="FF17365D"/>
      <name val="Calibri"/>
      <family val="2"/>
      <scheme val="minor"/>
    </font>
    <font>
      <sz val="11"/>
      <color rgb="FF008000"/>
      <name val="Calibri"/>
      <family val="2"/>
      <scheme val="minor"/>
    </font>
    <font>
      <i/>
      <sz val="9"/>
      <color rgb="FF1F2937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9"/>
      <color rgb="FF008000"/>
      <name val="Calibri"/>
      <family val="2"/>
      <scheme val="minor"/>
    </font>
    <font>
      <b/>
      <sz val="9"/>
      <color rgb="FF0000FF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18"/>
      <color rgb="FFFFFFFF"/>
      <name val="Calibri"/>
      <family val="2"/>
      <scheme val="major"/>
    </font>
    <font>
      <sz val="11"/>
      <name val="Calibri"/>
      <family val="2"/>
      <scheme val="major"/>
    </font>
    <font>
      <i/>
      <sz val="10"/>
      <color rgb="FF1F2937"/>
      <name val="Calibri"/>
      <family val="2"/>
      <scheme val="major"/>
    </font>
    <font>
      <b/>
      <sz val="11"/>
      <color rgb="FFFFFFFF"/>
      <name val="Calibri"/>
      <family val="2"/>
      <scheme val="major"/>
    </font>
    <font>
      <b/>
      <sz val="11"/>
      <color rgb="FF17365D"/>
      <name val="Calibri"/>
      <family val="2"/>
      <scheme val="major"/>
    </font>
    <font>
      <b/>
      <sz val="11"/>
      <color rgb="FF0000FF"/>
      <name val="Calibri"/>
      <family val="2"/>
      <scheme val="major"/>
    </font>
    <font>
      <sz val="11"/>
      <color rgb="FF0000FF"/>
      <name val="Calibri"/>
      <family val="2"/>
      <scheme val="major"/>
    </font>
    <font>
      <b/>
      <sz val="11"/>
      <color rgb="FF008000"/>
      <name val="Calibri"/>
      <family val="2"/>
      <scheme val="major"/>
    </font>
    <font>
      <sz val="10"/>
      <color rgb="FF1F2937"/>
      <name val="Calibri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1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  <diagonal/>
    </border>
    <border>
      <left style="medium">
        <color rgb="FFB7C9D6"/>
      </left>
      <right/>
      <top style="medium">
        <color rgb="FFB7C9D6"/>
      </top>
      <bottom/>
      <diagonal/>
    </border>
    <border>
      <left/>
      <right style="medium">
        <color rgb="FFB7C9D6"/>
      </right>
      <top style="medium">
        <color rgb="FFB7C9D6"/>
      </top>
      <bottom/>
      <diagonal/>
    </border>
    <border>
      <left style="medium">
        <color rgb="FFB7C9D6"/>
      </left>
      <right/>
      <top/>
      <bottom/>
      <diagonal/>
    </border>
    <border>
      <left/>
      <right style="medium">
        <color rgb="FFB7C9D6"/>
      </right>
      <top/>
      <bottom/>
      <diagonal/>
    </border>
    <border>
      <left style="medium">
        <color rgb="FFB7C9D6"/>
      </left>
      <right/>
      <top/>
      <bottom style="medium">
        <color rgb="FFB7C9D6"/>
      </bottom>
      <diagonal/>
    </border>
    <border>
      <left/>
      <right style="medium">
        <color rgb="FFB7C9D6"/>
      </right>
      <top/>
      <bottom style="medium">
        <color rgb="FFB7C9D6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8" borderId="11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4" fillId="9" borderId="12" xfId="0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0" fontId="4" fillId="6" borderId="12" xfId="0" applyFont="1" applyFill="1" applyBorder="1" applyAlignment="1">
      <alignment horizontal="center"/>
    </xf>
    <xf numFmtId="164" fontId="5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165" fontId="5" fillId="7" borderId="13" xfId="0" applyNumberFormat="1" applyFont="1" applyFill="1" applyBorder="1" applyAlignment="1">
      <alignment horizontal="center" vertical="center"/>
    </xf>
    <xf numFmtId="165" fontId="5" fillId="7" borderId="14" xfId="0" applyNumberFormat="1" applyFont="1" applyFill="1" applyBorder="1" applyAlignment="1">
      <alignment horizontal="center" vertical="center"/>
    </xf>
    <xf numFmtId="164" fontId="5" fillId="7" borderId="15" xfId="0" applyNumberFormat="1" applyFont="1" applyFill="1" applyBorder="1" applyAlignment="1">
      <alignment horizontal="center" vertical="center"/>
    </xf>
    <xf numFmtId="164" fontId="5" fillId="7" borderId="16" xfId="0" applyNumberFormat="1" applyFont="1" applyFill="1" applyBorder="1" applyAlignment="1">
      <alignment horizontal="center" vertical="center"/>
    </xf>
    <xf numFmtId="165" fontId="5" fillId="7" borderId="15" xfId="0" applyNumberFormat="1" applyFont="1" applyFill="1" applyBorder="1" applyAlignment="1">
      <alignment horizontal="center" vertical="center"/>
    </xf>
    <xf numFmtId="165" fontId="5" fillId="7" borderId="16" xfId="0" applyNumberFormat="1" applyFont="1" applyFill="1" applyBorder="1" applyAlignment="1">
      <alignment horizontal="center" vertical="center"/>
    </xf>
    <xf numFmtId="166" fontId="5" fillId="7" borderId="13" xfId="0" applyNumberFormat="1" applyFont="1" applyFill="1" applyBorder="1" applyAlignment="1">
      <alignment horizontal="center" vertical="center"/>
    </xf>
    <xf numFmtId="166" fontId="5" fillId="7" borderId="14" xfId="0" applyNumberFormat="1" applyFont="1" applyFill="1" applyBorder="1" applyAlignment="1">
      <alignment horizontal="center" vertical="center"/>
    </xf>
    <xf numFmtId="168" fontId="5" fillId="7" borderId="13" xfId="0" applyNumberFormat="1" applyFont="1" applyFill="1" applyBorder="1" applyAlignment="1">
      <alignment horizontal="center" vertical="center"/>
    </xf>
    <xf numFmtId="168" fontId="5" fillId="7" borderId="14" xfId="0" applyNumberFormat="1" applyFont="1" applyFill="1" applyBorder="1" applyAlignment="1">
      <alignment horizontal="center" vertical="center"/>
    </xf>
    <xf numFmtId="166" fontId="5" fillId="7" borderId="15" xfId="0" applyNumberFormat="1" applyFont="1" applyFill="1" applyBorder="1" applyAlignment="1">
      <alignment horizontal="center" vertical="center"/>
    </xf>
    <xf numFmtId="166" fontId="5" fillId="7" borderId="16" xfId="0" applyNumberFormat="1" applyFont="1" applyFill="1" applyBorder="1" applyAlignment="1">
      <alignment horizontal="center" vertical="center"/>
    </xf>
    <xf numFmtId="168" fontId="5" fillId="7" borderId="15" xfId="0" applyNumberFormat="1" applyFont="1" applyFill="1" applyBorder="1" applyAlignment="1">
      <alignment horizontal="center" vertical="center"/>
    </xf>
    <xf numFmtId="168" fontId="5" fillId="7" borderId="16" xfId="0" applyNumberFormat="1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7" fillId="2" borderId="1" xfId="0" applyFont="1" applyFill="1" applyBorder="1"/>
    <xf numFmtId="0" fontId="8" fillId="7" borderId="0" xfId="0" applyFont="1" applyFill="1"/>
    <xf numFmtId="0" fontId="9" fillId="10" borderId="1" xfId="0" applyFont="1" applyFill="1" applyBorder="1"/>
    <xf numFmtId="164" fontId="10" fillId="0" borderId="1" xfId="0" applyNumberFormat="1" applyFont="1" applyBorder="1"/>
    <xf numFmtId="165" fontId="10" fillId="0" borderId="1" xfId="0" applyNumberFormat="1" applyFont="1" applyBorder="1"/>
    <xf numFmtId="166" fontId="10" fillId="0" borderId="1" xfId="0" applyNumberFormat="1" applyFont="1" applyBorder="1"/>
    <xf numFmtId="0" fontId="6" fillId="2" borderId="1" xfId="0" applyFont="1" applyFill="1" applyBorder="1"/>
    <xf numFmtId="0" fontId="2" fillId="0" borderId="1" xfId="0" applyFont="1" applyBorder="1"/>
    <xf numFmtId="0" fontId="9" fillId="5" borderId="1" xfId="0" applyFont="1" applyFill="1" applyBorder="1"/>
    <xf numFmtId="164" fontId="3" fillId="5" borderId="1" xfId="0" applyNumberFormat="1" applyFont="1" applyFill="1" applyBorder="1"/>
    <xf numFmtId="166" fontId="3" fillId="5" borderId="1" xfId="0" applyNumberFormat="1" applyFont="1" applyFill="1" applyBorder="1"/>
    <xf numFmtId="0" fontId="10" fillId="0" borderId="1" xfId="0" applyFont="1" applyBorder="1"/>
    <xf numFmtId="0" fontId="11" fillId="3" borderId="2" xfId="0" applyFont="1" applyFill="1" applyBorder="1" applyAlignment="1">
      <alignment wrapText="1"/>
    </xf>
    <xf numFmtId="0" fontId="11" fillId="3" borderId="3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  <xf numFmtId="0" fontId="11" fillId="3" borderId="9" xfId="0" applyFont="1" applyFill="1" applyBorder="1" applyAlignment="1">
      <alignment wrapText="1"/>
    </xf>
    <xf numFmtId="0" fontId="12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 wrapText="1"/>
    </xf>
    <xf numFmtId="167" fontId="13" fillId="0" borderId="10" xfId="0" applyNumberFormat="1" applyFont="1" applyBorder="1"/>
    <xf numFmtId="0" fontId="13" fillId="0" borderId="10" xfId="0" applyFont="1" applyBorder="1"/>
    <xf numFmtId="164" fontId="13" fillId="0" borderId="10" xfId="0" applyNumberFormat="1" applyFont="1" applyBorder="1"/>
    <xf numFmtId="164" fontId="14" fillId="3" borderId="10" xfId="0" applyNumberFormat="1" applyFont="1" applyFill="1" applyBorder="1"/>
    <xf numFmtId="164" fontId="15" fillId="0" borderId="10" xfId="0" applyNumberFormat="1" applyFont="1" applyBorder="1"/>
    <xf numFmtId="166" fontId="15" fillId="0" borderId="10" xfId="0" applyNumberFormat="1" applyFont="1" applyBorder="1"/>
    <xf numFmtId="0" fontId="15" fillId="0" borderId="10" xfId="0" applyFont="1" applyBorder="1"/>
    <xf numFmtId="0" fontId="16" fillId="6" borderId="10" xfId="0" applyFont="1" applyFill="1" applyBorder="1"/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7" fillId="2" borderId="0" xfId="0" applyFont="1" applyFill="1" applyAlignment="1">
      <alignment horizontal="center" wrapText="1"/>
    </xf>
    <xf numFmtId="167" fontId="16" fillId="3" borderId="10" xfId="0" applyNumberFormat="1" applyFont="1" applyFill="1" applyBorder="1"/>
    <xf numFmtId="0" fontId="16" fillId="3" borderId="10" xfId="0" applyFont="1" applyFill="1" applyBorder="1"/>
    <xf numFmtId="166" fontId="16" fillId="3" borderId="10" xfId="0" applyNumberFormat="1" applyFont="1" applyFill="1" applyBorder="1"/>
    <xf numFmtId="0" fontId="19" fillId="3" borderId="0" xfId="0" applyFont="1" applyFill="1" applyAlignment="1">
      <alignment wrapText="1"/>
    </xf>
    <xf numFmtId="0" fontId="20" fillId="4" borderId="0" xfId="0" applyFont="1" applyFill="1" applyAlignment="1">
      <alignment horizontal="left" vertical="center"/>
    </xf>
    <xf numFmtId="0" fontId="21" fillId="5" borderId="1" xfId="0" applyFont="1" applyFill="1" applyBorder="1"/>
    <xf numFmtId="0" fontId="18" fillId="0" borderId="1" xfId="0" applyFont="1" applyBorder="1"/>
    <xf numFmtId="1" fontId="22" fillId="6" borderId="1" xfId="0" applyNumberFormat="1" applyFont="1" applyFill="1" applyBorder="1"/>
    <xf numFmtId="0" fontId="23" fillId="6" borderId="1" xfId="0" applyFont="1" applyFill="1" applyBorder="1"/>
    <xf numFmtId="164" fontId="22" fillId="6" borderId="1" xfId="0" applyNumberFormat="1" applyFont="1" applyFill="1" applyBorder="1"/>
    <xf numFmtId="165" fontId="22" fillId="6" borderId="1" xfId="0" applyNumberFormat="1" applyFont="1" applyFill="1" applyBorder="1"/>
    <xf numFmtId="166" fontId="22" fillId="6" borderId="1" xfId="0" applyNumberFormat="1" applyFont="1" applyFill="1" applyBorder="1"/>
    <xf numFmtId="0" fontId="24" fillId="3" borderId="1" xfId="0" applyFont="1" applyFill="1" applyBorder="1"/>
    <xf numFmtId="165" fontId="24" fillId="3" borderId="1" xfId="0" applyNumberFormat="1" applyFont="1" applyFill="1" applyBorder="1"/>
    <xf numFmtId="0" fontId="25" fillId="7" borderId="2" xfId="0" applyFont="1" applyFill="1" applyBorder="1" applyAlignment="1">
      <alignment wrapText="1"/>
    </xf>
    <xf numFmtId="0" fontId="25" fillId="7" borderId="3" xfId="0" applyFont="1" applyFill="1" applyBorder="1" applyAlignment="1">
      <alignment wrapText="1"/>
    </xf>
    <xf numFmtId="0" fontId="25" fillId="7" borderId="4" xfId="0" applyFont="1" applyFill="1" applyBorder="1" applyAlignment="1">
      <alignment wrapText="1"/>
    </xf>
    <xf numFmtId="0" fontId="25" fillId="7" borderId="5" xfId="0" applyFont="1" applyFill="1" applyBorder="1" applyAlignment="1">
      <alignment wrapText="1"/>
    </xf>
    <xf numFmtId="0" fontId="25" fillId="7" borderId="0" xfId="0" applyFont="1" applyFill="1" applyAlignment="1">
      <alignment wrapText="1"/>
    </xf>
    <xf numFmtId="0" fontId="25" fillId="7" borderId="6" xfId="0" applyFont="1" applyFill="1" applyBorder="1" applyAlignment="1">
      <alignment wrapText="1"/>
    </xf>
    <xf numFmtId="0" fontId="25" fillId="7" borderId="7" xfId="0" applyFont="1" applyFill="1" applyBorder="1" applyAlignment="1">
      <alignment wrapText="1"/>
    </xf>
    <xf numFmtId="0" fontId="25" fillId="7" borderId="8" xfId="0" applyFont="1" applyFill="1" applyBorder="1" applyAlignment="1">
      <alignment wrapText="1"/>
    </xf>
    <xf numFmtId="0" fontId="25" fillId="7" borderId="9" xfId="0" applyFont="1" applyFill="1" applyBorder="1" applyAlignment="1">
      <alignment wrapText="1"/>
    </xf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548235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/>
          <a:lstStyle/>
          <a:p>
            <a:r>
              <a:rPr lang="es-CO" sz="900"/>
              <a:t>Meta vs viajes realizados por semana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Meta</c:v>
          </c:tx>
          <c:spPr>
            <a:ln w="19050">
              <a:solidFill>
                <a:srgbClr val="F4B183"/>
              </a:solidFill>
            </a:ln>
          </c:spPr>
          <c:cat>
            <c:strRef>
              <c:f>Resumen!$I$15:$I$20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Resumen!$J$15:$J$20</c:f>
              <c:numCache>
                <c:formatCode>General</c:formatCode>
                <c:ptCount val="6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40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1-264B-86B5-15D0C70FFCBF}"/>
            </c:ext>
          </c:extLst>
        </c:ser>
        <c:ser>
          <c:idx val="1"/>
          <c:order val="1"/>
          <c:tx>
            <c:v>Realizados</c:v>
          </c:tx>
          <c:spPr>
            <a:ln w="19050">
              <a:solidFill>
                <a:srgbClr val="2F75B5"/>
              </a:solidFill>
            </a:ln>
          </c:spPr>
          <c:cat>
            <c:strRef>
              <c:f>Resumen!$I$15:$I$20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Resumen!$K$15:$K$20</c:f>
              <c:numCache>
                <c:formatCode>General</c:formatCode>
                <c:ptCount val="6"/>
                <c:pt idx="0">
                  <c:v>0</c:v>
                </c:pt>
                <c:pt idx="1">
                  <c:v>69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D1-264B-86B5-15D0C70FF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12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Viajes" displayName="TablaViajes" ref="A6:P37" headerRowDxfId="25" dataDxfId="23" totalsRowDxfId="24">
  <tableColumns count="16">
    <tableColumn id="1" xr3:uid="{00000000-0010-0000-0000-000001000000}" name="Fecha" dataDxfId="41"/>
    <tableColumn id="2" xr3:uid="{00000000-0010-0000-0000-000002000000}" name="Dia" dataDxfId="40"/>
    <tableColumn id="3" xr3:uid="{00000000-0010-0000-0000-000003000000}" name="Semana" dataDxfId="39"/>
    <tableColumn id="4" xr3:uid="{00000000-0010-0000-0000-000004000000}" name="Rio a trituradora" dataDxfId="38"/>
    <tableColumn id="5" xr3:uid="{00000000-0010-0000-0000-000005000000}" name="Rio a stock" dataDxfId="37"/>
    <tableColumn id="6" xr3:uid="{00000000-0010-0000-0000-000006000000}" name="Stock a trituradora" dataDxfId="36"/>
    <tableColumn id="7" xr3:uid="{00000000-0010-0000-0000-000007000000}" name="Trituradora a stock" dataDxfId="35"/>
    <tableColumn id="8" xr3:uid="{00000000-0010-0000-0000-000008000000}" name="Stock a stock" dataDxfId="34"/>
    <tableColumn id="9" xr3:uid="{00000000-0010-0000-0000-000009000000}" name="Total viajes" dataDxfId="33"/>
    <tableColumn id="10" xr3:uid="{00000000-0010-0000-0000-00000A000000}" name="Meta base L-J" dataDxfId="32"/>
    <tableColumn id="11" xr3:uid="{00000000-0010-0000-0000-00000B000000}" name="Meta sugerida hoy" dataDxfId="31"/>
    <tableColumn id="12" xr3:uid="{00000000-0010-0000-0000-00000C000000}" name="Faltan semana" dataDxfId="30"/>
    <tableColumn id="13" xr3:uid="{00000000-0010-0000-0000-00000D000000}" name="Valor bruto" dataDxfId="29"/>
    <tableColumn id="14" xr3:uid="{00000000-0010-0000-0000-00000E000000}" name="Mi 22%" dataDxfId="28"/>
    <tableColumn id="15" xr3:uid="{00000000-0010-0000-0000-00000F000000}" name="Estado" dataDxfId="27"/>
    <tableColumn id="16" xr3:uid="{00000000-0010-0000-0000-000010000000}" name="Observaciones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GastosVolqueta" displayName="TablaGastosVolqueta" ref="A6:I205" headerRowDxfId="13" dataDxfId="11" totalsRowDxfId="12">
  <tableColumns count="9">
    <tableColumn id="1" xr3:uid="{00000000-0010-0000-0100-000001000000}" name="Fecha" dataDxfId="22"/>
    <tableColumn id="2" xr3:uid="{00000000-0010-0000-0100-000002000000}" name="Mes" dataDxfId="21"/>
    <tableColumn id="3" xr3:uid="{00000000-0010-0000-0100-000003000000}" name="Categoria" dataDxfId="20"/>
    <tableColumn id="4" xr3:uid="{00000000-0010-0000-0100-000004000000}" name="Detalle" dataDxfId="19"/>
    <tableColumn id="5" xr3:uid="{00000000-0010-0000-0100-000005000000}" name="Valor" dataDxfId="18"/>
    <tableColumn id="6" xr3:uid="{00000000-0010-0000-0100-000006000000}" name="Pagado por" dataDxfId="17"/>
    <tableColumn id="7" xr3:uid="{00000000-0010-0000-0100-000007000000}" name="Medio pago" dataDxfId="16"/>
    <tableColumn id="8" xr3:uid="{00000000-0010-0000-0100-000008000000}" name="Observaciones" dataDxfId="15"/>
    <tableColumn id="9" xr3:uid="{00000000-0010-0000-0100-000009000000}" name="Año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AportesTios" displayName="TablaAportesTios" ref="A6:H205" headerRowDxfId="2" dataDxfId="0" totalsRowDxfId="1">
  <tableColumns count="8">
    <tableColumn id="1" xr3:uid="{00000000-0010-0000-0200-000001000000}" name="Fecha" dataDxfId="10"/>
    <tableColumn id="2" xr3:uid="{00000000-0010-0000-0200-000002000000}" name="Mes" dataDxfId="9"/>
    <tableColumn id="3" xr3:uid="{00000000-0010-0000-0200-000003000000}" name="Tio" dataDxfId="8"/>
    <tableColumn id="4" xr3:uid="{00000000-0010-0000-0200-000004000000}" name="Concepto" dataDxfId="7"/>
    <tableColumn id="5" xr3:uid="{00000000-0010-0000-0200-000005000000}" name="Valor enviado" dataDxfId="6"/>
    <tableColumn id="6" xr3:uid="{00000000-0010-0000-0200-000006000000}" name="Medio envio" dataDxfId="5"/>
    <tableColumn id="7" xr3:uid="{00000000-0010-0000-0200-000007000000}" name="Observaciones" dataDxfId="4"/>
    <tableColumn id="8" xr3:uid="{00000000-0010-0000-0200-000008000000}" name="Añ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showGridLines="0" workbookViewId="0">
      <selection activeCell="E24" sqref="E24"/>
    </sheetView>
  </sheetViews>
  <sheetFormatPr baseColWidth="10" defaultColWidth="8.83203125" defaultRowHeight="15"/>
  <cols>
    <col min="1" max="1" width="19" style="2" customWidth="1"/>
    <col min="2" max="2" width="14" style="2" customWidth="1"/>
    <col min="3" max="3" width="13" style="2" customWidth="1"/>
    <col min="4" max="4" width="19" style="2" customWidth="1"/>
    <col min="5" max="6" width="14" style="2" customWidth="1"/>
    <col min="7" max="7" width="19" style="2" customWidth="1"/>
    <col min="8" max="8" width="14" style="2" customWidth="1"/>
    <col min="9" max="9" width="12" style="2" customWidth="1"/>
    <col min="10" max="16" width="14" style="2" customWidth="1"/>
    <col min="17" max="16384" width="8.83203125" style="2"/>
  </cols>
  <sheetData>
    <row r="1" spans="1:11" ht="3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1" ht="34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</row>
    <row r="3" spans="1:11" ht="24" customHeight="1">
      <c r="A3" s="3" t="str">
        <f>"Periodo: "&amp;CHOOSE(Configuracion!$B$8,"Enero","Febrero","Marzo","Abril","Mayo","Junio","Julio","Agosto","Septiembre","Octubre","Noviembre","Diciembre")&amp;" "&amp;Configuracion!$B$7</f>
        <v>Periodo: Junio 2026</v>
      </c>
      <c r="B3" s="3"/>
      <c r="C3" s="3"/>
      <c r="D3" s="3"/>
      <c r="E3" s="3"/>
      <c r="F3" s="3"/>
      <c r="G3" s="3"/>
      <c r="H3" s="3"/>
      <c r="I3" s="3"/>
      <c r="J3" s="3"/>
    </row>
    <row r="5" spans="1:11">
      <c r="A5" s="4" t="s">
        <v>1</v>
      </c>
      <c r="B5" s="5" t="s">
        <v>1</v>
      </c>
      <c r="D5" s="6" t="s">
        <v>2</v>
      </c>
      <c r="E5" s="7" t="s">
        <v>2</v>
      </c>
      <c r="G5" s="8" t="s">
        <v>3</v>
      </c>
      <c r="H5" s="9" t="s">
        <v>3</v>
      </c>
      <c r="I5" s="10" t="s">
        <v>4</v>
      </c>
      <c r="J5" s="11" t="s">
        <v>4</v>
      </c>
    </row>
    <row r="6" spans="1:11">
      <c r="A6" s="12">
        <f>SUM('Registro diario'!$J$7:$J$37)</f>
        <v>360</v>
      </c>
      <c r="B6" s="13"/>
      <c r="D6" s="12">
        <f>SUM('Registro diario'!$I$7:$I$37)</f>
        <v>81</v>
      </c>
      <c r="E6" s="13"/>
      <c r="G6" s="12">
        <f>MAX(0,A6-D6)</f>
        <v>279</v>
      </c>
      <c r="H6" s="13"/>
      <c r="I6" s="14">
        <f>IF(A6=0,0,D6/A6)</f>
        <v>0.22500000000000001</v>
      </c>
      <c r="J6" s="15"/>
    </row>
    <row r="7" spans="1:11">
      <c r="A7" s="16"/>
      <c r="B7" s="17"/>
      <c r="D7" s="16"/>
      <c r="E7" s="17"/>
      <c r="G7" s="16"/>
      <c r="H7" s="17"/>
      <c r="I7" s="18"/>
      <c r="J7" s="19"/>
    </row>
    <row r="9" spans="1:11">
      <c r="A9" s="4" t="s">
        <v>5</v>
      </c>
      <c r="B9" s="5" t="s">
        <v>5</v>
      </c>
      <c r="D9" s="6" t="s">
        <v>6</v>
      </c>
      <c r="E9" s="7" t="s">
        <v>6</v>
      </c>
      <c r="G9" s="8" t="s">
        <v>7</v>
      </c>
      <c r="H9" s="9" t="s">
        <v>7</v>
      </c>
      <c r="I9" s="10" t="s">
        <v>8</v>
      </c>
      <c r="J9" s="11" t="s">
        <v>8</v>
      </c>
    </row>
    <row r="10" spans="1:11">
      <c r="A10" s="20">
        <f>SUM('Registro diario'!$M$7:$M$37)</f>
        <v>2406000</v>
      </c>
      <c r="B10" s="21"/>
      <c r="D10" s="20">
        <f>SUM('Registro diario'!$N$7:$N$37)</f>
        <v>529320</v>
      </c>
      <c r="E10" s="21"/>
      <c r="G10" s="12">
        <f>COUNTIF('Registro diario'!$I$7:$I$37,"&gt;0")</f>
        <v>6</v>
      </c>
      <c r="H10" s="13"/>
      <c r="I10" s="22">
        <f>IF(G10=0,0,D6/G10)</f>
        <v>13.5</v>
      </c>
      <c r="J10" s="23"/>
    </row>
    <row r="11" spans="1:11">
      <c r="A11" s="24"/>
      <c r="B11" s="25"/>
      <c r="D11" s="24"/>
      <c r="E11" s="25"/>
      <c r="G11" s="16"/>
      <c r="H11" s="17"/>
      <c r="I11" s="26"/>
      <c r="J11" s="27"/>
    </row>
    <row r="13" spans="1:11" ht="24" customHeight="1">
      <c r="A13" s="28" t="s">
        <v>9</v>
      </c>
      <c r="B13" s="28" t="s">
        <v>9</v>
      </c>
      <c r="C13" s="28" t="s">
        <v>9</v>
      </c>
      <c r="D13" s="28" t="s">
        <v>9</v>
      </c>
      <c r="E13" s="28" t="s">
        <v>9</v>
      </c>
      <c r="F13" s="28" t="s">
        <v>9</v>
      </c>
      <c r="G13" s="28" t="s">
        <v>9</v>
      </c>
    </row>
    <row r="14" spans="1:11">
      <c r="A14" s="29" t="s">
        <v>10</v>
      </c>
      <c r="B14" s="29" t="s">
        <v>11</v>
      </c>
      <c r="C14" s="29" t="s">
        <v>12</v>
      </c>
      <c r="D14" s="29" t="s">
        <v>13</v>
      </c>
      <c r="E14" s="29" t="s">
        <v>14</v>
      </c>
      <c r="F14" s="29" t="s">
        <v>15</v>
      </c>
      <c r="G14" s="29" t="s">
        <v>16</v>
      </c>
      <c r="I14" s="30" t="s">
        <v>10</v>
      </c>
      <c r="J14" s="30" t="s">
        <v>11</v>
      </c>
      <c r="K14" s="30" t="s">
        <v>12</v>
      </c>
    </row>
    <row r="15" spans="1:11">
      <c r="A15" s="31" t="s">
        <v>17</v>
      </c>
      <c r="B15" s="32">
        <f>SUMIF('Registro diario'!$C$7:$C$37,1,'Registro diario'!$J$7:$J$37)</f>
        <v>80</v>
      </c>
      <c r="C15" s="32">
        <f>SUMIF('Registro diario'!$C$7:$C$37,1,'Registro diario'!$I$7:$I$37)</f>
        <v>0</v>
      </c>
      <c r="D15" s="32">
        <f t="shared" ref="D15:D20" si="0">MAX(0,B15-C15)</f>
        <v>80</v>
      </c>
      <c r="E15" s="33">
        <f t="shared" ref="E15:E20" si="1">IF(B15=0,"",C15/B15)</f>
        <v>0</v>
      </c>
      <c r="F15" s="34">
        <f>SUMIF('Registro diario'!$C$7:$C$37,1,'Registro diario'!$M$7:$M$37)</f>
        <v>0</v>
      </c>
      <c r="G15" s="34">
        <f>SUMIF('Registro diario'!$C$7:$C$37,1,'Registro diario'!$N$7:$N$37)</f>
        <v>0</v>
      </c>
      <c r="I15" s="30" t="s">
        <v>18</v>
      </c>
      <c r="J15" s="30">
        <f t="shared" ref="J15:K20" si="2">B15</f>
        <v>80</v>
      </c>
      <c r="K15" s="30">
        <f t="shared" si="2"/>
        <v>0</v>
      </c>
    </row>
    <row r="16" spans="1:11">
      <c r="A16" s="31" t="s">
        <v>19</v>
      </c>
      <c r="B16" s="32">
        <f>SUMIF('Registro diario'!$C$7:$C$37,2,'Registro diario'!$J$7:$J$37)</f>
        <v>80</v>
      </c>
      <c r="C16" s="32">
        <f>SUMIF('Registro diario'!$C$7:$C$37,2,'Registro diario'!$I$7:$I$37)</f>
        <v>69</v>
      </c>
      <c r="D16" s="32">
        <f t="shared" si="0"/>
        <v>11</v>
      </c>
      <c r="E16" s="33">
        <f t="shared" si="1"/>
        <v>0.86250000000000004</v>
      </c>
      <c r="F16" s="34">
        <f>SUMIF('Registro diario'!$C$7:$C$37,2,'Registro diario'!$M$7:$M$37)</f>
        <v>2166000</v>
      </c>
      <c r="G16" s="34">
        <f>SUMIF('Registro diario'!$C$7:$C$37,2,'Registro diario'!$N$7:$N$37)</f>
        <v>476520</v>
      </c>
      <c r="I16" s="30" t="s">
        <v>20</v>
      </c>
      <c r="J16" s="30">
        <f t="shared" si="2"/>
        <v>80</v>
      </c>
      <c r="K16" s="30">
        <f t="shared" si="2"/>
        <v>69</v>
      </c>
    </row>
    <row r="17" spans="1:11">
      <c r="A17" s="31" t="s">
        <v>21</v>
      </c>
      <c r="B17" s="32">
        <f>SUMIF('Registro diario'!$C$7:$C$37,3,'Registro diario'!$J$7:$J$37)</f>
        <v>80</v>
      </c>
      <c r="C17" s="32">
        <f>SUMIF('Registro diario'!$C$7:$C$37,3,'Registro diario'!$I$7:$I$37)</f>
        <v>12</v>
      </c>
      <c r="D17" s="32">
        <f t="shared" si="0"/>
        <v>68</v>
      </c>
      <c r="E17" s="33">
        <f t="shared" si="1"/>
        <v>0.15</v>
      </c>
      <c r="F17" s="34">
        <f>SUMIF('Registro diario'!$C$7:$C$37,3,'Registro diario'!$M$7:$M$37)</f>
        <v>240000</v>
      </c>
      <c r="G17" s="34">
        <f>SUMIF('Registro diario'!$C$7:$C$37,3,'Registro diario'!$N$7:$N$37)</f>
        <v>52800</v>
      </c>
      <c r="I17" s="30" t="s">
        <v>22</v>
      </c>
      <c r="J17" s="30">
        <f t="shared" si="2"/>
        <v>80</v>
      </c>
      <c r="K17" s="30">
        <f t="shared" si="2"/>
        <v>12</v>
      </c>
    </row>
    <row r="18" spans="1:11">
      <c r="A18" s="31" t="s">
        <v>23</v>
      </c>
      <c r="B18" s="32">
        <f>SUMIF('Registro diario'!$C$7:$C$37,4,'Registro diario'!$J$7:$J$37)</f>
        <v>80</v>
      </c>
      <c r="C18" s="32">
        <f>SUMIF('Registro diario'!$C$7:$C$37,4,'Registro diario'!$I$7:$I$37)</f>
        <v>0</v>
      </c>
      <c r="D18" s="32">
        <f t="shared" si="0"/>
        <v>80</v>
      </c>
      <c r="E18" s="33">
        <f t="shared" si="1"/>
        <v>0</v>
      </c>
      <c r="F18" s="34">
        <f>SUMIF('Registro diario'!$C$7:$C$37,4,'Registro diario'!$M$7:$M$37)</f>
        <v>0</v>
      </c>
      <c r="G18" s="34">
        <f>SUMIF('Registro diario'!$C$7:$C$37,4,'Registro diario'!$N$7:$N$37)</f>
        <v>0</v>
      </c>
      <c r="I18" s="30" t="s">
        <v>24</v>
      </c>
      <c r="J18" s="30">
        <f t="shared" si="2"/>
        <v>80</v>
      </c>
      <c r="K18" s="30">
        <f t="shared" si="2"/>
        <v>0</v>
      </c>
    </row>
    <row r="19" spans="1:11">
      <c r="A19" s="31" t="s">
        <v>25</v>
      </c>
      <c r="B19" s="32">
        <f>SUMIF('Registro diario'!$C$7:$C$37,5,'Registro diario'!$J$7:$J$37)</f>
        <v>40</v>
      </c>
      <c r="C19" s="32">
        <f>SUMIF('Registro diario'!$C$7:$C$37,5,'Registro diario'!$I$7:$I$37)</f>
        <v>0</v>
      </c>
      <c r="D19" s="32">
        <f t="shared" si="0"/>
        <v>40</v>
      </c>
      <c r="E19" s="33">
        <f t="shared" si="1"/>
        <v>0</v>
      </c>
      <c r="F19" s="34">
        <f>SUMIF('Registro diario'!$C$7:$C$37,5,'Registro diario'!$M$7:$M$37)</f>
        <v>0</v>
      </c>
      <c r="G19" s="34">
        <f>SUMIF('Registro diario'!$C$7:$C$37,5,'Registro diario'!$N$7:$N$37)</f>
        <v>0</v>
      </c>
      <c r="I19" s="30" t="s">
        <v>26</v>
      </c>
      <c r="J19" s="30">
        <f t="shared" si="2"/>
        <v>40</v>
      </c>
      <c r="K19" s="30">
        <f t="shared" si="2"/>
        <v>0</v>
      </c>
    </row>
    <row r="20" spans="1:11">
      <c r="A20" s="31" t="s">
        <v>27</v>
      </c>
      <c r="B20" s="32">
        <f>SUMIF('Registro diario'!$C$7:$C$37,6,'Registro diario'!$J$7:$J$37)</f>
        <v>0</v>
      </c>
      <c r="C20" s="32">
        <f>SUMIF('Registro diario'!$C$7:$C$37,6,'Registro diario'!$I$7:$I$37)</f>
        <v>0</v>
      </c>
      <c r="D20" s="32">
        <f t="shared" si="0"/>
        <v>0</v>
      </c>
      <c r="E20" s="33" t="str">
        <f t="shared" si="1"/>
        <v/>
      </c>
      <c r="F20" s="34">
        <f>SUMIF('Registro diario'!$C$7:$C$37,6,'Registro diario'!$M$7:$M$37)</f>
        <v>0</v>
      </c>
      <c r="G20" s="34">
        <f>SUMIF('Registro diario'!$C$7:$C$37,6,'Registro diario'!$N$7:$N$37)</f>
        <v>0</v>
      </c>
      <c r="I20" s="30" t="s">
        <v>28</v>
      </c>
      <c r="J20" s="30">
        <f t="shared" si="2"/>
        <v>0</v>
      </c>
      <c r="K20" s="30">
        <f t="shared" si="2"/>
        <v>0</v>
      </c>
    </row>
    <row r="23" spans="1:11" ht="24" customHeight="1">
      <c r="A23" s="28" t="s">
        <v>29</v>
      </c>
      <c r="B23" s="28" t="s">
        <v>29</v>
      </c>
      <c r="C23" s="28" t="s">
        <v>29</v>
      </c>
      <c r="D23" s="28" t="s">
        <v>29</v>
      </c>
      <c r="E23" s="28" t="s">
        <v>29</v>
      </c>
      <c r="F23" s="28" t="s">
        <v>29</v>
      </c>
      <c r="G23" s="28" t="s">
        <v>29</v>
      </c>
    </row>
    <row r="24" spans="1:11">
      <c r="A24" s="35" t="s">
        <v>30</v>
      </c>
      <c r="B24" s="35" t="s">
        <v>31</v>
      </c>
      <c r="C24" s="35" t="s">
        <v>32</v>
      </c>
      <c r="D24" s="35" t="s">
        <v>33</v>
      </c>
    </row>
    <row r="25" spans="1:11">
      <c r="A25" s="36" t="s">
        <v>34</v>
      </c>
      <c r="B25" s="32">
        <f>SUM('Registro diario'!$D$7:$D$37)</f>
        <v>67</v>
      </c>
      <c r="C25" s="34">
        <f>Configuracion!$B$14</f>
        <v>32000</v>
      </c>
      <c r="D25" s="34">
        <f>B25*C25</f>
        <v>2144000</v>
      </c>
    </row>
    <row r="26" spans="1:11">
      <c r="A26" s="36" t="s">
        <v>35</v>
      </c>
      <c r="B26" s="32">
        <f>SUM('Registro diario'!$E$7:$E$37)</f>
        <v>3</v>
      </c>
      <c r="C26" s="34">
        <f>Configuracion!$B$15</f>
        <v>30000</v>
      </c>
      <c r="D26" s="34">
        <f>B26*C26</f>
        <v>90000</v>
      </c>
    </row>
    <row r="27" spans="1:11">
      <c r="A27" s="36" t="s">
        <v>36</v>
      </c>
      <c r="B27" s="32">
        <f>SUM('Registro diario'!$F$7:$F$37)</f>
        <v>10</v>
      </c>
      <c r="C27" s="34">
        <f>Configuracion!$B$16</f>
        <v>16000</v>
      </c>
      <c r="D27" s="34">
        <f>B27*C27</f>
        <v>160000</v>
      </c>
    </row>
    <row r="28" spans="1:11">
      <c r="A28" s="36" t="s">
        <v>37</v>
      </c>
      <c r="B28" s="32">
        <f>SUM('Registro diario'!$G$7:$G$37)</f>
        <v>0</v>
      </c>
      <c r="C28" s="34">
        <f>Configuracion!$B$17</f>
        <v>12000</v>
      </c>
      <c r="D28" s="34">
        <f>B28*C28</f>
        <v>0</v>
      </c>
    </row>
    <row r="29" spans="1:11">
      <c r="A29" s="36" t="s">
        <v>38</v>
      </c>
      <c r="B29" s="32">
        <f>SUM('Registro diario'!$H$7:$H$37)</f>
        <v>1</v>
      </c>
      <c r="C29" s="34">
        <f>Configuracion!$B$18</f>
        <v>12000</v>
      </c>
      <c r="D29" s="34">
        <f>B29*C29</f>
        <v>12000</v>
      </c>
    </row>
    <row r="30" spans="1:11">
      <c r="A30" s="37" t="s">
        <v>39</v>
      </c>
      <c r="B30" s="38">
        <f>SUM(B25:B29)</f>
        <v>81</v>
      </c>
      <c r="C30" s="39"/>
      <c r="D30" s="39">
        <f>SUM(D25:D29)</f>
        <v>2406000</v>
      </c>
    </row>
    <row r="32" spans="1:11" ht="24" customHeight="1">
      <c r="A32" s="28" t="s">
        <v>40</v>
      </c>
      <c r="B32" s="28" t="s">
        <v>40</v>
      </c>
      <c r="C32" s="28" t="s">
        <v>40</v>
      </c>
      <c r="D32" s="28" t="s">
        <v>40</v>
      </c>
      <c r="E32" s="28" t="s">
        <v>40</v>
      </c>
      <c r="F32" s="28" t="s">
        <v>40</v>
      </c>
      <c r="G32" s="28" t="s">
        <v>40</v>
      </c>
      <c r="H32" s="28" t="s">
        <v>40</v>
      </c>
      <c r="I32" s="28" t="s">
        <v>40</v>
      </c>
      <c r="J32" s="28" t="s">
        <v>40</v>
      </c>
    </row>
    <row r="34" spans="1:10">
      <c r="A34" s="8" t="s">
        <v>41</v>
      </c>
      <c r="B34" s="9" t="s">
        <v>41</v>
      </c>
      <c r="D34" s="6" t="s">
        <v>42</v>
      </c>
      <c r="E34" s="7" t="s">
        <v>42</v>
      </c>
      <c r="G34" s="4" t="s">
        <v>43</v>
      </c>
      <c r="H34" s="5" t="s">
        <v>43</v>
      </c>
      <c r="I34" s="10" t="s">
        <v>44</v>
      </c>
      <c r="J34" s="11" t="s">
        <v>44</v>
      </c>
    </row>
    <row r="35" spans="1:10">
      <c r="A35" s="20">
        <f>SUMIFS('Gastos volqueta'!$E$7:$E$205,'Gastos volqueta'!$B$7:$B$205,Configuracion!$B$8,'Gastos volqueta'!$I$7:$I$205,Configuracion!$B$7)</f>
        <v>0</v>
      </c>
      <c r="B35" s="21"/>
      <c r="D35" s="20">
        <f>SUMIFS('Aportes tios'!$E$7:$E$205,'Aportes tios'!$B$7:$B$205,Configuracion!$B$8,'Aportes tios'!$H$7:$H$205,Configuracion!$B$7)</f>
        <v>0</v>
      </c>
      <c r="E35" s="21"/>
      <c r="G35" s="20">
        <f>D10+D35-A35</f>
        <v>529320</v>
      </c>
      <c r="H35" s="21"/>
      <c r="I35" s="20">
        <f>D10-A35</f>
        <v>529320</v>
      </c>
      <c r="J35" s="21"/>
    </row>
    <row r="36" spans="1:10">
      <c r="A36" s="24"/>
      <c r="B36" s="25"/>
      <c r="D36" s="24"/>
      <c r="E36" s="25"/>
      <c r="G36" s="24"/>
      <c r="H36" s="25"/>
      <c r="I36" s="24"/>
      <c r="J36" s="25"/>
    </row>
    <row r="38" spans="1:10">
      <c r="A38" s="29" t="s">
        <v>45</v>
      </c>
      <c r="B38" s="29" t="s">
        <v>46</v>
      </c>
      <c r="C38" s="29" t="s">
        <v>47</v>
      </c>
      <c r="D38" s="29" t="s">
        <v>48</v>
      </c>
      <c r="E38" s="29" t="s">
        <v>49</v>
      </c>
      <c r="F38" s="29" t="s">
        <v>50</v>
      </c>
      <c r="G38" s="29" t="s">
        <v>51</v>
      </c>
      <c r="H38" s="29" t="s">
        <v>52</v>
      </c>
    </row>
    <row r="39" spans="1:10">
      <c r="A39" s="31" t="s">
        <v>53</v>
      </c>
      <c r="B39" s="33">
        <f>Configuracion!$B$22</f>
        <v>0.5</v>
      </c>
      <c r="C39" s="34">
        <f>$A$35*B39</f>
        <v>0</v>
      </c>
      <c r="D39" s="34">
        <f>SUMIFS('Aportes tios'!$E$7:$E$205,'Aportes tios'!$C$7:$C$205,A39,'Aportes tios'!$B$7:$B$205,Configuracion!$B$8,'Aportes tios'!$H$7:$H$205,Configuracion!$B$7)</f>
        <v>0</v>
      </c>
      <c r="E39" s="34">
        <f>MAX(0,C39-D39)</f>
        <v>0</v>
      </c>
      <c r="F39" s="34">
        <f>MAX(0,D39-C39)</f>
        <v>0</v>
      </c>
      <c r="G39" s="40" t="str">
        <f>IF(E39&gt;0,"Debe enviar",IF(F39&gt;0,"A favor","OK"))</f>
        <v>OK</v>
      </c>
      <c r="H39" s="36"/>
    </row>
    <row r="40" spans="1:10">
      <c r="A40" s="31" t="s">
        <v>54</v>
      </c>
      <c r="B40" s="33">
        <f>Configuracion!$B$23</f>
        <v>0.5</v>
      </c>
      <c r="C40" s="34">
        <f>$A$35*B40</f>
        <v>0</v>
      </c>
      <c r="D40" s="34">
        <f>SUMIFS('Aportes tios'!$E$7:$E$205,'Aportes tios'!$C$7:$C$205,A40,'Aportes tios'!$B$7:$B$205,Configuracion!$B$8,'Aportes tios'!$H$7:$H$205,Configuracion!$B$7)</f>
        <v>0</v>
      </c>
      <c r="E40" s="34">
        <f>MAX(0,C40-D40)</f>
        <v>0</v>
      </c>
      <c r="F40" s="34">
        <f>MAX(0,D40-C40)</f>
        <v>0</v>
      </c>
      <c r="G40" s="40" t="str">
        <f>IF(E40&gt;0,"Debe enviar",IF(F40&gt;0,"A favor","OK"))</f>
        <v>OK</v>
      </c>
      <c r="H40" s="36"/>
    </row>
    <row r="41" spans="1:10">
      <c r="A41" s="31" t="s">
        <v>39</v>
      </c>
      <c r="B41" s="33">
        <f>SUM(B39:B40)</f>
        <v>1</v>
      </c>
      <c r="C41" s="34">
        <f>SUM(C39:C40)</f>
        <v>0</v>
      </c>
      <c r="D41" s="34">
        <f>SUM(D39:D40)</f>
        <v>0</v>
      </c>
      <c r="E41" s="34">
        <f>SUM(E39:E40)</f>
        <v>0</v>
      </c>
      <c r="F41" s="34">
        <f>SUM(F39:F40)</f>
        <v>0</v>
      </c>
      <c r="G41" s="40" t="str">
        <f>IF(E41&gt;0,"Falta por cubrir",IF(F41&gt;0,"Aportes de mas","OK"))</f>
        <v>OK</v>
      </c>
      <c r="H41" s="36"/>
    </row>
    <row r="44" spans="1:10" ht="24" customHeight="1">
      <c r="A44" s="28" t="s">
        <v>55</v>
      </c>
      <c r="B44" s="28" t="s">
        <v>55</v>
      </c>
      <c r="C44" s="28" t="s">
        <v>55</v>
      </c>
      <c r="D44" s="28" t="s">
        <v>55</v>
      </c>
    </row>
    <row r="45" spans="1:10">
      <c r="A45" s="29" t="s">
        <v>56</v>
      </c>
      <c r="B45" s="29" t="s">
        <v>57</v>
      </c>
      <c r="C45" s="29" t="s">
        <v>58</v>
      </c>
      <c r="D45" s="29" t="s">
        <v>52</v>
      </c>
    </row>
    <row r="46" spans="1:10">
      <c r="A46" s="40" t="str">
        <f>Configuracion!G7</f>
        <v>ACPM</v>
      </c>
      <c r="B46" s="34">
        <f>SUMIFS('Gastos volqueta'!$E$7:$E$205,'Gastos volqueta'!$C$7:$C$205,A46,'Gastos volqueta'!$B$7:$B$205,Configuracion!$B$8,'Gastos volqueta'!$I$7:$I$205,Configuracion!$B$7)</f>
        <v>0</v>
      </c>
      <c r="C46" s="33" t="str">
        <f t="shared" ref="C46:C64" si="3">IF($A$35=0,"",B46/$A$35)</f>
        <v/>
      </c>
      <c r="D46" s="36"/>
    </row>
    <row r="47" spans="1:10">
      <c r="A47" s="40" t="str">
        <f>Configuracion!G8</f>
        <v>Mantenimiento</v>
      </c>
      <c r="B47" s="34">
        <f>SUMIFS('Gastos volqueta'!$E$7:$E$205,'Gastos volqueta'!$C$7:$C$205,A47,'Gastos volqueta'!$B$7:$B$205,Configuracion!$B$8,'Gastos volqueta'!$I$7:$I$205,Configuracion!$B$7)</f>
        <v>0</v>
      </c>
      <c r="C47" s="33" t="str">
        <f t="shared" si="3"/>
        <v/>
      </c>
      <c r="D47" s="36"/>
    </row>
    <row r="48" spans="1:10">
      <c r="A48" s="40" t="str">
        <f>Configuracion!G9</f>
        <v>Llantas</v>
      </c>
      <c r="B48" s="34">
        <f>SUMIFS('Gastos volqueta'!$E$7:$E$205,'Gastos volqueta'!$C$7:$C$205,A48,'Gastos volqueta'!$B$7:$B$205,Configuracion!$B$8,'Gastos volqueta'!$I$7:$I$205,Configuracion!$B$7)</f>
        <v>0</v>
      </c>
      <c r="C48" s="33" t="str">
        <f t="shared" si="3"/>
        <v/>
      </c>
      <c r="D48" s="36"/>
    </row>
    <row r="49" spans="1:4">
      <c r="A49" s="40" t="str">
        <f>Configuracion!G10</f>
        <v>Aceite</v>
      </c>
      <c r="B49" s="34">
        <f>SUMIFS('Gastos volqueta'!$E$7:$E$205,'Gastos volqueta'!$C$7:$C$205,A49,'Gastos volqueta'!$B$7:$B$205,Configuracion!$B$8,'Gastos volqueta'!$I$7:$I$205,Configuracion!$B$7)</f>
        <v>0</v>
      </c>
      <c r="C49" s="33" t="str">
        <f t="shared" si="3"/>
        <v/>
      </c>
      <c r="D49" s="36"/>
    </row>
    <row r="50" spans="1:4">
      <c r="A50" s="40" t="str">
        <f>Configuracion!G11</f>
        <v>Lavadero</v>
      </c>
      <c r="B50" s="34">
        <f>SUMIFS('Gastos volqueta'!$E$7:$E$205,'Gastos volqueta'!$C$7:$C$205,A50,'Gastos volqueta'!$B$7:$B$205,Configuracion!$B$8,'Gastos volqueta'!$I$7:$I$205,Configuracion!$B$7)</f>
        <v>0</v>
      </c>
      <c r="C50" s="33" t="str">
        <f t="shared" si="3"/>
        <v/>
      </c>
      <c r="D50" s="36"/>
    </row>
    <row r="51" spans="1:4">
      <c r="A51" s="40" t="str">
        <f>Configuracion!G12</f>
        <v>Peajes</v>
      </c>
      <c r="B51" s="34">
        <f>SUMIFS('Gastos volqueta'!$E$7:$E$205,'Gastos volqueta'!$C$7:$C$205,A51,'Gastos volqueta'!$B$7:$B$205,Configuracion!$B$8,'Gastos volqueta'!$I$7:$I$205,Configuracion!$B$7)</f>
        <v>0</v>
      </c>
      <c r="C51" s="33" t="str">
        <f t="shared" si="3"/>
        <v/>
      </c>
      <c r="D51" s="36"/>
    </row>
    <row r="52" spans="1:4">
      <c r="A52" s="40" t="str">
        <f>Configuracion!G13</f>
        <v>Parqueadero</v>
      </c>
      <c r="B52" s="34">
        <f>SUMIFS('Gastos volqueta'!$E$7:$E$205,'Gastos volqueta'!$C$7:$C$205,A52,'Gastos volqueta'!$B$7:$B$205,Configuracion!$B$8,'Gastos volqueta'!$I$7:$I$205,Configuracion!$B$7)</f>
        <v>0</v>
      </c>
      <c r="C52" s="33" t="str">
        <f t="shared" si="3"/>
        <v/>
      </c>
      <c r="D52" s="36"/>
    </row>
    <row r="53" spans="1:4">
      <c r="A53" s="40" t="str">
        <f>Configuracion!G14</f>
        <v>Reparacion</v>
      </c>
      <c r="B53" s="34">
        <f>SUMIFS('Gastos volqueta'!$E$7:$E$205,'Gastos volqueta'!$C$7:$C$205,A53,'Gastos volqueta'!$B$7:$B$205,Configuracion!$B$8,'Gastos volqueta'!$I$7:$I$205,Configuracion!$B$7)</f>
        <v>0</v>
      </c>
      <c r="C53" s="33" t="str">
        <f t="shared" si="3"/>
        <v/>
      </c>
      <c r="D53" s="36"/>
    </row>
    <row r="54" spans="1:4">
      <c r="A54" s="40" t="str">
        <f>Configuracion!G15</f>
        <v>Alimentacion</v>
      </c>
      <c r="B54" s="34">
        <f>SUMIFS('Gastos volqueta'!$E$7:$E$205,'Gastos volqueta'!$C$7:$C$205,A54,'Gastos volqueta'!$B$7:$B$205,Configuracion!$B$8,'Gastos volqueta'!$I$7:$I$205,Configuracion!$B$7)</f>
        <v>0</v>
      </c>
      <c r="C54" s="33" t="str">
        <f t="shared" si="3"/>
        <v/>
      </c>
      <c r="D54" s="36"/>
    </row>
    <row r="55" spans="1:4">
      <c r="A55" s="40" t="str">
        <f>Configuracion!G16</f>
        <v>Documentos</v>
      </c>
      <c r="B55" s="34">
        <f>SUMIFS('Gastos volqueta'!$E$7:$E$205,'Gastos volqueta'!$C$7:$C$205,A55,'Gastos volqueta'!$B$7:$B$205,Configuracion!$B$8,'Gastos volqueta'!$I$7:$I$205,Configuracion!$B$7)</f>
        <v>0</v>
      </c>
      <c r="C55" s="33" t="str">
        <f t="shared" si="3"/>
        <v/>
      </c>
      <c r="D55" s="36"/>
    </row>
    <row r="56" spans="1:4">
      <c r="A56" s="40" t="str">
        <f>Configuracion!G17</f>
        <v>Impuestos</v>
      </c>
      <c r="B56" s="34">
        <f>SUMIFS('Gastos volqueta'!$E$7:$E$205,'Gastos volqueta'!$C$7:$C$205,A56,'Gastos volqueta'!$B$7:$B$205,Configuracion!$B$8,'Gastos volqueta'!$I$7:$I$205,Configuracion!$B$7)</f>
        <v>0</v>
      </c>
      <c r="C56" s="33" t="str">
        <f t="shared" si="3"/>
        <v/>
      </c>
      <c r="D56" s="36"/>
    </row>
    <row r="57" spans="1:4">
      <c r="A57" s="40" t="str">
        <f>Configuracion!G18</f>
        <v>Seguro</v>
      </c>
      <c r="B57" s="34">
        <f>SUMIFS('Gastos volqueta'!$E$7:$E$205,'Gastos volqueta'!$C$7:$C$205,A57,'Gastos volqueta'!$B$7:$B$205,Configuracion!$B$8,'Gastos volqueta'!$I$7:$I$205,Configuracion!$B$7)</f>
        <v>0</v>
      </c>
      <c r="C57" s="33" t="str">
        <f t="shared" si="3"/>
        <v/>
      </c>
      <c r="D57" s="36"/>
    </row>
    <row r="58" spans="1:4">
      <c r="A58" s="40" t="str">
        <f>Configuracion!G19</f>
        <v>Multas</v>
      </c>
      <c r="B58" s="34">
        <f>SUMIFS('Gastos volqueta'!$E$7:$E$205,'Gastos volqueta'!$C$7:$C$205,A58,'Gastos volqueta'!$B$7:$B$205,Configuracion!$B$8,'Gastos volqueta'!$I$7:$I$205,Configuracion!$B$7)</f>
        <v>0</v>
      </c>
      <c r="C58" s="33" t="str">
        <f t="shared" si="3"/>
        <v/>
      </c>
      <c r="D58" s="36"/>
    </row>
    <row r="59" spans="1:4">
      <c r="A59" s="40" t="str">
        <f>Configuracion!G20</f>
        <v>Grua</v>
      </c>
      <c r="B59" s="34">
        <f>SUMIFS('Gastos volqueta'!$E$7:$E$205,'Gastos volqueta'!$C$7:$C$205,A59,'Gastos volqueta'!$B$7:$B$205,Configuracion!$B$8,'Gastos volqueta'!$I$7:$I$205,Configuracion!$B$7)</f>
        <v>0</v>
      </c>
      <c r="C59" s="33" t="str">
        <f t="shared" si="3"/>
        <v/>
      </c>
      <c r="D59" s="36"/>
    </row>
    <row r="60" spans="1:4">
      <c r="A60" s="40" t="str">
        <f>Configuracion!G21</f>
        <v>Lavada</v>
      </c>
      <c r="B60" s="34">
        <f>SUMIFS('Gastos volqueta'!$E$7:$E$205,'Gastos volqueta'!$C$7:$C$205,A60,'Gastos volqueta'!$B$7:$B$205,Configuracion!$B$8,'Gastos volqueta'!$I$7:$I$205,Configuracion!$B$7)</f>
        <v>0</v>
      </c>
      <c r="C60" s="33" t="str">
        <f t="shared" si="3"/>
        <v/>
      </c>
      <c r="D60" s="36"/>
    </row>
    <row r="61" spans="1:4">
      <c r="A61" s="40" t="str">
        <f>Configuracion!G22</f>
        <v>Repuestos</v>
      </c>
      <c r="B61" s="34">
        <f>SUMIFS('Gastos volqueta'!$E$7:$E$205,'Gastos volqueta'!$C$7:$C$205,A61,'Gastos volqueta'!$B$7:$B$205,Configuracion!$B$8,'Gastos volqueta'!$I$7:$I$205,Configuracion!$B$7)</f>
        <v>0</v>
      </c>
      <c r="C61" s="33" t="str">
        <f t="shared" si="3"/>
        <v/>
      </c>
      <c r="D61" s="36"/>
    </row>
    <row r="62" spans="1:4">
      <c r="A62" s="40" t="str">
        <f>Configuracion!G23</f>
        <v>Mano de obra</v>
      </c>
      <c r="B62" s="34">
        <f>SUMIFS('Gastos volqueta'!$E$7:$E$205,'Gastos volqueta'!$C$7:$C$205,A62,'Gastos volqueta'!$B$7:$B$205,Configuracion!$B$8,'Gastos volqueta'!$I$7:$I$205,Configuracion!$B$7)</f>
        <v>0</v>
      </c>
      <c r="C62" s="33" t="str">
        <f t="shared" si="3"/>
        <v/>
      </c>
      <c r="D62" s="36"/>
    </row>
    <row r="63" spans="1:4">
      <c r="A63" s="40" t="str">
        <f>Configuracion!G24</f>
        <v>Prestamo</v>
      </c>
      <c r="B63" s="34">
        <f>SUMIFS('Gastos volqueta'!$E$7:$E$205,'Gastos volqueta'!$C$7:$C$205,A63,'Gastos volqueta'!$B$7:$B$205,Configuracion!$B$8,'Gastos volqueta'!$I$7:$I$205,Configuracion!$B$7)</f>
        <v>0</v>
      </c>
      <c r="C63" s="33" t="str">
        <f t="shared" si="3"/>
        <v/>
      </c>
      <c r="D63" s="36"/>
    </row>
    <row r="64" spans="1:4">
      <c r="A64" s="40" t="str">
        <f>Configuracion!G25</f>
        <v>Otro</v>
      </c>
      <c r="B64" s="34">
        <f>SUMIFS('Gastos volqueta'!$E$7:$E$205,'Gastos volqueta'!$C$7:$C$205,A64,'Gastos volqueta'!$B$7:$B$205,Configuracion!$B$8,'Gastos volqueta'!$I$7:$I$205,Configuracion!$B$7)</f>
        <v>0</v>
      </c>
      <c r="C64" s="33" t="str">
        <f t="shared" si="3"/>
        <v/>
      </c>
      <c r="D64" s="36"/>
    </row>
    <row r="66" spans="1:10" ht="32" customHeight="1">
      <c r="A66" s="41" t="s">
        <v>59</v>
      </c>
      <c r="B66" s="42" t="s">
        <v>59</v>
      </c>
      <c r="C66" s="42" t="s">
        <v>59</v>
      </c>
      <c r="D66" s="42" t="s">
        <v>59</v>
      </c>
      <c r="E66" s="42" t="s">
        <v>59</v>
      </c>
      <c r="F66" s="42" t="s">
        <v>59</v>
      </c>
      <c r="G66" s="42" t="s">
        <v>59</v>
      </c>
      <c r="H66" s="42" t="s">
        <v>59</v>
      </c>
      <c r="I66" s="42" t="s">
        <v>59</v>
      </c>
      <c r="J66" s="43" t="s">
        <v>59</v>
      </c>
    </row>
    <row r="67" spans="1:10" ht="32" customHeight="1">
      <c r="A67" s="44" t="s">
        <v>59</v>
      </c>
      <c r="B67" s="45" t="s">
        <v>59</v>
      </c>
      <c r="C67" s="45" t="s">
        <v>59</v>
      </c>
      <c r="D67" s="45" t="s">
        <v>59</v>
      </c>
      <c r="E67" s="45" t="s">
        <v>59</v>
      </c>
      <c r="F67" s="45" t="s">
        <v>59</v>
      </c>
      <c r="G67" s="45" t="s">
        <v>59</v>
      </c>
      <c r="H67" s="45" t="s">
        <v>59</v>
      </c>
      <c r="I67" s="45" t="s">
        <v>59</v>
      </c>
      <c r="J67" s="46" t="s">
        <v>59</v>
      </c>
    </row>
  </sheetData>
  <mergeCells count="31">
    <mergeCell ref="I34:J34"/>
    <mergeCell ref="I35:J36"/>
    <mergeCell ref="A44:D44"/>
    <mergeCell ref="A66:J67"/>
    <mergeCell ref="A34:B34"/>
    <mergeCell ref="A35:B36"/>
    <mergeCell ref="D34:E34"/>
    <mergeCell ref="D35:E36"/>
    <mergeCell ref="G34:H34"/>
    <mergeCell ref="G35:H36"/>
    <mergeCell ref="I9:J9"/>
    <mergeCell ref="I10:J11"/>
    <mergeCell ref="A13:G13"/>
    <mergeCell ref="A23:G23"/>
    <mergeCell ref="A32:J32"/>
    <mergeCell ref="A9:B9"/>
    <mergeCell ref="A10:B11"/>
    <mergeCell ref="D9:E9"/>
    <mergeCell ref="D10:E11"/>
    <mergeCell ref="G9:H9"/>
    <mergeCell ref="G10:H11"/>
    <mergeCell ref="A1:J2"/>
    <mergeCell ref="A3:J3"/>
    <mergeCell ref="A5:B5"/>
    <mergeCell ref="A6:B7"/>
    <mergeCell ref="D5:E5"/>
    <mergeCell ref="D6:E7"/>
    <mergeCell ref="G5:H5"/>
    <mergeCell ref="G6:H7"/>
    <mergeCell ref="I5:J5"/>
    <mergeCell ref="I6:J7"/>
  </mergeCells>
  <conditionalFormatting sqref="D15:D20">
    <cfRule type="cellIs" dxfId="49" priority="1" operator="greaterThan">
      <formula>0</formula>
    </cfRule>
  </conditionalFormatting>
  <conditionalFormatting sqref="E15:E20">
    <cfRule type="dataBar" priority="2">
      <dataBar>
        <cfvo type="min"/>
        <cfvo type="max"/>
        <color rgb="FF548235"/>
      </dataBar>
    </cfRule>
    <cfRule type="dataBar" priority="6">
      <dataBar>
        <cfvo type="min"/>
        <cfvo type="max"/>
        <color rgb="FF548235"/>
      </dataBar>
      <extLst>
        <ext xmlns:x14="http://schemas.microsoft.com/office/spreadsheetml/2009/9/main" uri="{B025F937-C7B1-47D3-B67F-A62EFF666E3E}">
          <x14:id>{2CF8075F-86B4-89D8-8DF8-06BBF5DD8D68}</x14:id>
        </ext>
      </extLst>
    </cfRule>
  </conditionalFormatting>
  <conditionalFormatting sqref="E39:E41">
    <cfRule type="cellIs" dxfId="48" priority="3" operator="greaterThan">
      <formula>0</formula>
    </cfRule>
  </conditionalFormatting>
  <conditionalFormatting sqref="G39:G41">
    <cfRule type="containsText" dxfId="47" priority="4" operator="containsText" text="Debe enviar"/>
    <cfRule type="containsText" dxfId="46" priority="5" operator="containsText" text="OK"/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CF8075F-86B4-89D8-8DF8-06BBF5DD8D68}">
            <x14:dataBar>
              <x14:cfvo type="min"/>
              <x14:cfvo type="max"/>
              <x14:negativeFillColor auto="1"/>
              <x14:axisColor auto="1"/>
            </x14:dataBar>
          </x14:cfRule>
          <xm:sqref>E15:E20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opLeftCell="A5" workbookViewId="0">
      <selection activeCell="D20" sqref="D20"/>
    </sheetView>
  </sheetViews>
  <sheetFormatPr baseColWidth="10" defaultColWidth="8.83203125" defaultRowHeight="15"/>
  <cols>
    <col min="1" max="2" width="13" style="2" customWidth="1"/>
    <col min="3" max="3" width="9" style="2" customWidth="1"/>
    <col min="4" max="4" width="18" style="2" customWidth="1"/>
    <col min="5" max="5" width="15" style="2" customWidth="1"/>
    <col min="6" max="7" width="20" style="2" customWidth="1"/>
    <col min="8" max="8" width="14" style="2" customWidth="1"/>
    <col min="9" max="9" width="12" style="2" customWidth="1"/>
    <col min="10" max="10" width="13" style="2" customWidth="1"/>
    <col min="11" max="11" width="16" style="2" customWidth="1"/>
    <col min="12" max="12" width="14" style="2" customWidth="1"/>
    <col min="13" max="13" width="15" style="2" customWidth="1"/>
    <col min="14" max="14" width="14" style="2" customWidth="1"/>
    <col min="15" max="15" width="17" style="2" customWidth="1"/>
    <col min="16" max="16" width="26" style="2" customWidth="1"/>
    <col min="17" max="16384" width="8.83203125" style="2"/>
  </cols>
  <sheetData>
    <row r="1" spans="1:16" ht="34" customHeight="1">
      <c r="A1" s="1" t="s">
        <v>60</v>
      </c>
      <c r="B1" s="1" t="s">
        <v>60</v>
      </c>
      <c r="C1" s="1" t="s">
        <v>60</v>
      </c>
      <c r="D1" s="1" t="s">
        <v>60</v>
      </c>
      <c r="E1" s="1" t="s">
        <v>60</v>
      </c>
      <c r="F1" s="1" t="s">
        <v>60</v>
      </c>
      <c r="G1" s="1" t="s">
        <v>60</v>
      </c>
      <c r="H1" s="1" t="s">
        <v>60</v>
      </c>
      <c r="I1" s="1" t="s">
        <v>60</v>
      </c>
      <c r="J1" s="1" t="s">
        <v>60</v>
      </c>
      <c r="K1" s="1" t="s">
        <v>60</v>
      </c>
      <c r="L1" s="1" t="s">
        <v>60</v>
      </c>
      <c r="M1" s="1" t="s">
        <v>60</v>
      </c>
      <c r="N1" s="1" t="s">
        <v>60</v>
      </c>
      <c r="O1" s="1" t="s">
        <v>60</v>
      </c>
      <c r="P1" s="1" t="s">
        <v>60</v>
      </c>
    </row>
    <row r="2" spans="1:16" ht="34" customHeight="1">
      <c r="A2" s="1" t="s">
        <v>60</v>
      </c>
      <c r="B2" s="1" t="s">
        <v>60</v>
      </c>
      <c r="C2" s="1" t="s">
        <v>60</v>
      </c>
      <c r="D2" s="1" t="s">
        <v>60</v>
      </c>
      <c r="E2" s="1" t="s">
        <v>60</v>
      </c>
      <c r="F2" s="1" t="s">
        <v>60</v>
      </c>
      <c r="G2" s="1" t="s">
        <v>60</v>
      </c>
      <c r="H2" s="1" t="s">
        <v>60</v>
      </c>
      <c r="I2" s="1" t="s">
        <v>60</v>
      </c>
      <c r="J2" s="1" t="s">
        <v>60</v>
      </c>
      <c r="K2" s="1" t="s">
        <v>60</v>
      </c>
      <c r="L2" s="1" t="s">
        <v>60</v>
      </c>
      <c r="M2" s="1" t="s">
        <v>60</v>
      </c>
      <c r="N2" s="1" t="s">
        <v>60</v>
      </c>
      <c r="O2" s="1" t="s">
        <v>60</v>
      </c>
      <c r="P2" s="1" t="s">
        <v>60</v>
      </c>
    </row>
    <row r="3" spans="1:16" ht="26" customHeight="1">
      <c r="A3" s="47" t="str">
        <f>"Mes: "&amp;CHOOSE(Configuracion!$B$8,"Enero","Febrero","Marzo","Abril","Mayo","Junio","Julio","Agosto","Septiembre","Octubre","Noviembre","Diciembre")&amp;" "&amp;Configuracion!$B$7&amp;" | Escribe los viajes en las columnas azules."</f>
        <v>Mes: Junio 2026 | Escribe los viajes en las columnas azules.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</row>
    <row r="5" spans="1:16">
      <c r="A5" s="48" t="s">
        <v>61</v>
      </c>
      <c r="B5" s="48" t="s">
        <v>61</v>
      </c>
      <c r="C5" s="48" t="s">
        <v>61</v>
      </c>
      <c r="D5" s="48" t="s">
        <v>61</v>
      </c>
      <c r="E5" s="48" t="s">
        <v>61</v>
      </c>
      <c r="F5" s="48" t="s">
        <v>61</v>
      </c>
      <c r="G5" s="48" t="s">
        <v>61</v>
      </c>
      <c r="H5" s="48" t="s">
        <v>61</v>
      </c>
      <c r="I5" s="48" t="s">
        <v>61</v>
      </c>
      <c r="J5" s="48" t="s">
        <v>61</v>
      </c>
      <c r="K5" s="48" t="s">
        <v>61</v>
      </c>
      <c r="L5" s="48" t="s">
        <v>61</v>
      </c>
      <c r="M5" s="48" t="s">
        <v>61</v>
      </c>
      <c r="N5" s="48" t="s">
        <v>61</v>
      </c>
      <c r="O5" s="48" t="s">
        <v>61</v>
      </c>
      <c r="P5" s="48" t="s">
        <v>61</v>
      </c>
    </row>
    <row r="6" spans="1:16" ht="36" customHeight="1">
      <c r="A6" s="49" t="s">
        <v>62</v>
      </c>
      <c r="B6" s="49" t="s">
        <v>63</v>
      </c>
      <c r="C6" s="49" t="s">
        <v>10</v>
      </c>
      <c r="D6" s="49" t="s">
        <v>34</v>
      </c>
      <c r="E6" s="49" t="s">
        <v>35</v>
      </c>
      <c r="F6" s="49" t="s">
        <v>36</v>
      </c>
      <c r="G6" s="49" t="s">
        <v>37</v>
      </c>
      <c r="H6" s="49" t="s">
        <v>38</v>
      </c>
      <c r="I6" s="49" t="s">
        <v>64</v>
      </c>
      <c r="J6" s="49" t="s">
        <v>65</v>
      </c>
      <c r="K6" s="49" t="s">
        <v>66</v>
      </c>
      <c r="L6" s="49" t="s">
        <v>67</v>
      </c>
      <c r="M6" s="49" t="s">
        <v>15</v>
      </c>
      <c r="N6" s="49" t="s">
        <v>16</v>
      </c>
      <c r="O6" s="49" t="s">
        <v>51</v>
      </c>
      <c r="P6" s="49" t="s">
        <v>68</v>
      </c>
    </row>
    <row r="7" spans="1:16" ht="21" customHeight="1">
      <c r="A7" s="50">
        <f>IF(1&lt;=DAY(EOMONTH(DATE(Configuracion!$B$7,Configuracion!$B$8,1),0)),DATE(Configuracion!$B$7,Configuracion!$B$8,1),"")</f>
        <v>46174</v>
      </c>
      <c r="B7" s="51" t="str">
        <f t="shared" ref="B7:B37" si="0">IF(A7="","",CHOOSE(WEEKDAY(A7,2),"Lunes","Martes","Miercoles","Jueves","Viernes","Sabado","Domingo"))</f>
        <v>Lunes</v>
      </c>
      <c r="C7" s="52">
        <f t="shared" ref="C7:C37" si="1">IF(A7="","",INT((DAY(A7)+WEEKDAY(DATE(YEAR(A7),MONTH(A7),1),2)-2)/7)+1)</f>
        <v>1</v>
      </c>
      <c r="D7" s="53"/>
      <c r="E7" s="53"/>
      <c r="F7" s="53"/>
      <c r="G7" s="53"/>
      <c r="H7" s="53"/>
      <c r="I7" s="54">
        <f t="shared" ref="I7:I37" si="2">IF(A7="","",SUM(D7:H7))</f>
        <v>0</v>
      </c>
      <c r="J7" s="54">
        <f>IF(A7="","",IF(WEEKDAY(A7,2)&lt;=4,Configuracion!$B$9,0))</f>
        <v>20</v>
      </c>
      <c r="K7" s="54">
        <f>IF(A7="","",IF(WEEKDAY(A7,2)&lt;=4,Configuracion!$B$9,IF(SUMIFS($J$7:$J$37,$C$7:$C$37,C7)=0,0,ROUNDUP(MAX(0,SUMIFS($J$7:$J$37,$C$7:$C$37,C7)-SUMIFS($I$7:$I$37,$C$7:$C$37,C7,$A$7:$A$37,"&lt;"&amp;A7))/(8-WEEKDAY(A7,2)),0))))</f>
        <v>20</v>
      </c>
      <c r="L7" s="54">
        <f t="shared" ref="L7:L37" si="3">IF(A7="","",MAX(0,SUMIFS($J$7:$J$37,$C$7:$C$37,C7)-SUMIFS($I$7:$I$37,$C$7:$C$37,C7,$A$7:$A$37,"&lt;="&amp;A7)))</f>
        <v>80</v>
      </c>
      <c r="M7" s="55">
        <f>IF(A7="","",D7*Configuracion!$B$14+E7*Configuracion!$B$15+F7*Configuracion!$B$16+G7*Configuracion!$B$17+H7*Configuracion!$B$18)</f>
        <v>0</v>
      </c>
      <c r="N7" s="55">
        <f>IF(A7="","",M7*Configuracion!$B$10)</f>
        <v>0</v>
      </c>
      <c r="O7" s="56" t="str">
        <f t="shared" ref="O7:O37" si="4">IF(A7="","",IF(I7=0,"",IF(L7=0,"Meta cumplida",IF(WEEKDAY(A7,2)&lt;=4,"En curso","Recuperando"))))</f>
        <v/>
      </c>
      <c r="P7" s="57"/>
    </row>
    <row r="8" spans="1:16" ht="21" customHeight="1">
      <c r="A8" s="50">
        <f>IF(2&lt;=DAY(EOMONTH(DATE(Configuracion!$B$7,Configuracion!$B$8,1),0)),DATE(Configuracion!$B$7,Configuracion!$B$8,2),"")</f>
        <v>46175</v>
      </c>
      <c r="B8" s="51" t="str">
        <f t="shared" si="0"/>
        <v>Martes</v>
      </c>
      <c r="C8" s="52">
        <f t="shared" si="1"/>
        <v>1</v>
      </c>
      <c r="D8" s="53"/>
      <c r="E8" s="53"/>
      <c r="F8" s="53"/>
      <c r="G8" s="53"/>
      <c r="H8" s="53"/>
      <c r="I8" s="54">
        <f t="shared" si="2"/>
        <v>0</v>
      </c>
      <c r="J8" s="54">
        <f>IF(A8="","",IF(WEEKDAY(A8,2)&lt;=4,Configuracion!$B$9,0))</f>
        <v>20</v>
      </c>
      <c r="K8" s="54">
        <f>IF(A8="","",IF(WEEKDAY(A8,2)&lt;=4,Configuracion!$B$9,IF(SUMIFS($J$7:$J$37,$C$7:$C$37,C8)=0,0,ROUNDUP(MAX(0,SUMIFS($J$7:$J$37,$C$7:$C$37,C8)-SUMIFS($I$7:$I$37,$C$7:$C$37,C8,$A$7:$A$37,"&lt;"&amp;A8))/(8-WEEKDAY(A8,2)),0))))</f>
        <v>20</v>
      </c>
      <c r="L8" s="54">
        <f t="shared" si="3"/>
        <v>80</v>
      </c>
      <c r="M8" s="55">
        <f>IF(A8="","",D8*Configuracion!$B$14+E8*Configuracion!$B$15+F8*Configuracion!$B$16+G8*Configuracion!$B$17+H8*Configuracion!$B$18)</f>
        <v>0</v>
      </c>
      <c r="N8" s="55">
        <f>IF(A8="","",M8*Configuracion!$B$10)</f>
        <v>0</v>
      </c>
      <c r="O8" s="56" t="str">
        <f t="shared" si="4"/>
        <v/>
      </c>
      <c r="P8" s="57"/>
    </row>
    <row r="9" spans="1:16" ht="21" customHeight="1">
      <c r="A9" s="50">
        <f>IF(3&lt;=DAY(EOMONTH(DATE(Configuracion!$B$7,Configuracion!$B$8,1),0)),DATE(Configuracion!$B$7,Configuracion!$B$8,3),"")</f>
        <v>46176</v>
      </c>
      <c r="B9" s="51" t="str">
        <f t="shared" si="0"/>
        <v>Miercoles</v>
      </c>
      <c r="C9" s="52">
        <f t="shared" si="1"/>
        <v>1</v>
      </c>
      <c r="D9" s="53"/>
      <c r="E9" s="53"/>
      <c r="F9" s="53"/>
      <c r="G9" s="53"/>
      <c r="H9" s="53"/>
      <c r="I9" s="54">
        <f t="shared" si="2"/>
        <v>0</v>
      </c>
      <c r="J9" s="54">
        <f>IF(A9="","",IF(WEEKDAY(A9,2)&lt;=4,Configuracion!$B$9,0))</f>
        <v>20</v>
      </c>
      <c r="K9" s="54">
        <f>IF(A9="","",IF(WEEKDAY(A9,2)&lt;=4,Configuracion!$B$9,IF(SUMIFS($J$7:$J$37,$C$7:$C$37,C9)=0,0,ROUNDUP(MAX(0,SUMIFS($J$7:$J$37,$C$7:$C$37,C9)-SUMIFS($I$7:$I$37,$C$7:$C$37,C9,$A$7:$A$37,"&lt;"&amp;A9))/(8-WEEKDAY(A9,2)),0))))</f>
        <v>20</v>
      </c>
      <c r="L9" s="54">
        <f t="shared" si="3"/>
        <v>80</v>
      </c>
      <c r="M9" s="55">
        <f>IF(A9="","",D9*Configuracion!$B$14+E9*Configuracion!$B$15+F9*Configuracion!$B$16+G9*Configuracion!$B$17+H9*Configuracion!$B$18)</f>
        <v>0</v>
      </c>
      <c r="N9" s="55">
        <f>IF(A9="","",M9*Configuracion!$B$10)</f>
        <v>0</v>
      </c>
      <c r="O9" s="56" t="str">
        <f t="shared" si="4"/>
        <v/>
      </c>
      <c r="P9" s="57"/>
    </row>
    <row r="10" spans="1:16" ht="21" customHeight="1">
      <c r="A10" s="50">
        <f>IF(4&lt;=DAY(EOMONTH(DATE(Configuracion!$B$7,Configuracion!$B$8,1),0)),DATE(Configuracion!$B$7,Configuracion!$B$8,4),"")</f>
        <v>46177</v>
      </c>
      <c r="B10" s="51" t="str">
        <f t="shared" si="0"/>
        <v>Jueves</v>
      </c>
      <c r="C10" s="52">
        <f t="shared" si="1"/>
        <v>1</v>
      </c>
      <c r="D10" s="53"/>
      <c r="E10" s="53"/>
      <c r="F10" s="53"/>
      <c r="G10" s="53"/>
      <c r="H10" s="53"/>
      <c r="I10" s="54">
        <f t="shared" si="2"/>
        <v>0</v>
      </c>
      <c r="J10" s="54">
        <f>IF(A10="","",IF(WEEKDAY(A10,2)&lt;=4,Configuracion!$B$9,0))</f>
        <v>20</v>
      </c>
      <c r="K10" s="54">
        <f>IF(A10="","",IF(WEEKDAY(A10,2)&lt;=4,Configuracion!$B$9,IF(SUMIFS($J$7:$J$37,$C$7:$C$37,C10)=0,0,ROUNDUP(MAX(0,SUMIFS($J$7:$J$37,$C$7:$C$37,C10)-SUMIFS($I$7:$I$37,$C$7:$C$37,C10,$A$7:$A$37,"&lt;"&amp;A10))/(8-WEEKDAY(A10,2)),0))))</f>
        <v>20</v>
      </c>
      <c r="L10" s="54">
        <f t="shared" si="3"/>
        <v>80</v>
      </c>
      <c r="M10" s="55">
        <f>IF(A10="","",D10*Configuracion!$B$14+E10*Configuracion!$B$15+F10*Configuracion!$B$16+G10*Configuracion!$B$17+H10*Configuracion!$B$18)</f>
        <v>0</v>
      </c>
      <c r="N10" s="55">
        <f>IF(A10="","",M10*Configuracion!$B$10)</f>
        <v>0</v>
      </c>
      <c r="O10" s="56" t="str">
        <f t="shared" si="4"/>
        <v/>
      </c>
      <c r="P10" s="57"/>
    </row>
    <row r="11" spans="1:16" ht="21" customHeight="1">
      <c r="A11" s="50">
        <f>IF(5&lt;=DAY(EOMONTH(DATE(Configuracion!$B$7,Configuracion!$B$8,1),0)),DATE(Configuracion!$B$7,Configuracion!$B$8,5),"")</f>
        <v>46178</v>
      </c>
      <c r="B11" s="51" t="str">
        <f t="shared" si="0"/>
        <v>Viernes</v>
      </c>
      <c r="C11" s="52">
        <f t="shared" si="1"/>
        <v>1</v>
      </c>
      <c r="D11" s="53"/>
      <c r="E11" s="53"/>
      <c r="F11" s="53"/>
      <c r="G11" s="53"/>
      <c r="H11" s="53"/>
      <c r="I11" s="54">
        <f t="shared" si="2"/>
        <v>0</v>
      </c>
      <c r="J11" s="54">
        <f>IF(A11="","",IF(WEEKDAY(A11,2)&lt;=4,Configuracion!$B$9,0))</f>
        <v>0</v>
      </c>
      <c r="K11" s="54">
        <f>IF(A11="","",IF(WEEKDAY(A11,2)&lt;=4,Configuracion!$B$9,IF(SUMIFS($J$7:$J$37,$C$7:$C$37,C11)=0,0,ROUNDUP(MAX(0,SUMIFS($J$7:$J$37,$C$7:$C$37,C11)-SUMIFS($I$7:$I$37,$C$7:$C$37,C11,$A$7:$A$37,"&lt;"&amp;A11))/(8-WEEKDAY(A11,2)),0))))</f>
        <v>27</v>
      </c>
      <c r="L11" s="54">
        <f t="shared" si="3"/>
        <v>80</v>
      </c>
      <c r="M11" s="55">
        <f>IF(A11="","",D11*Configuracion!$B$14+E11*Configuracion!$B$15+F11*Configuracion!$B$16+G11*Configuracion!$B$17+H11*Configuracion!$B$18)</f>
        <v>0</v>
      </c>
      <c r="N11" s="55">
        <f>IF(A11="","",M11*Configuracion!$B$10)</f>
        <v>0</v>
      </c>
      <c r="O11" s="56" t="str">
        <f t="shared" si="4"/>
        <v/>
      </c>
      <c r="P11" s="57"/>
    </row>
    <row r="12" spans="1:16" ht="21" customHeight="1">
      <c r="A12" s="50">
        <f>IF(6&lt;=DAY(EOMONTH(DATE(Configuracion!$B$7,Configuracion!$B$8,1),0)),DATE(Configuracion!$B$7,Configuracion!$B$8,6),"")</f>
        <v>46179</v>
      </c>
      <c r="B12" s="51" t="str">
        <f t="shared" si="0"/>
        <v>Sabado</v>
      </c>
      <c r="C12" s="52">
        <f t="shared" si="1"/>
        <v>1</v>
      </c>
      <c r="D12" s="53"/>
      <c r="E12" s="53"/>
      <c r="F12" s="53"/>
      <c r="G12" s="53"/>
      <c r="H12" s="53"/>
      <c r="I12" s="54">
        <f t="shared" si="2"/>
        <v>0</v>
      </c>
      <c r="J12" s="54">
        <f>IF(A12="","",IF(WEEKDAY(A12,2)&lt;=4,Configuracion!$B$9,0))</f>
        <v>0</v>
      </c>
      <c r="K12" s="54">
        <f>IF(A12="","",IF(WEEKDAY(A12,2)&lt;=4,Configuracion!$B$9,IF(SUMIFS($J$7:$J$37,$C$7:$C$37,C12)=0,0,ROUNDUP(MAX(0,SUMIFS($J$7:$J$37,$C$7:$C$37,C12)-SUMIFS($I$7:$I$37,$C$7:$C$37,C12,$A$7:$A$37,"&lt;"&amp;A12))/(8-WEEKDAY(A12,2)),0))))</f>
        <v>40</v>
      </c>
      <c r="L12" s="54">
        <f t="shared" si="3"/>
        <v>80</v>
      </c>
      <c r="M12" s="55">
        <f>IF(A12="","",D12*Configuracion!$B$14+E12*Configuracion!$B$15+F12*Configuracion!$B$16+G12*Configuracion!$B$17+H12*Configuracion!$B$18)</f>
        <v>0</v>
      </c>
      <c r="N12" s="55">
        <f>IF(A12="","",M12*Configuracion!$B$10)</f>
        <v>0</v>
      </c>
      <c r="O12" s="56" t="str">
        <f t="shared" si="4"/>
        <v/>
      </c>
      <c r="P12" s="57"/>
    </row>
    <row r="13" spans="1:16" ht="21" customHeight="1">
      <c r="A13" s="50">
        <f>IF(7&lt;=DAY(EOMONTH(DATE(Configuracion!$B$7,Configuracion!$B$8,1),0)),DATE(Configuracion!$B$7,Configuracion!$B$8,7),"")</f>
        <v>46180</v>
      </c>
      <c r="B13" s="51" t="str">
        <f t="shared" si="0"/>
        <v>Domingo</v>
      </c>
      <c r="C13" s="52">
        <f t="shared" si="1"/>
        <v>1</v>
      </c>
      <c r="D13" s="53"/>
      <c r="E13" s="53"/>
      <c r="F13" s="53"/>
      <c r="G13" s="53"/>
      <c r="H13" s="53"/>
      <c r="I13" s="54">
        <f t="shared" si="2"/>
        <v>0</v>
      </c>
      <c r="J13" s="54">
        <f>IF(A13="","",IF(WEEKDAY(A13,2)&lt;=4,Configuracion!$B$9,0))</f>
        <v>0</v>
      </c>
      <c r="K13" s="54">
        <f>IF(A13="","",IF(WEEKDAY(A13,2)&lt;=4,Configuracion!$B$9,IF(SUMIFS($J$7:$J$37,$C$7:$C$37,C13)=0,0,ROUNDUP(MAX(0,SUMIFS($J$7:$J$37,$C$7:$C$37,C13)-SUMIFS($I$7:$I$37,$C$7:$C$37,C13,$A$7:$A$37,"&lt;"&amp;A13))/(8-WEEKDAY(A13,2)),0))))</f>
        <v>80</v>
      </c>
      <c r="L13" s="54">
        <f t="shared" si="3"/>
        <v>80</v>
      </c>
      <c r="M13" s="55">
        <f>IF(A13="","",D13*Configuracion!$B$14+E13*Configuracion!$B$15+F13*Configuracion!$B$16+G13*Configuracion!$B$17+H13*Configuracion!$B$18)</f>
        <v>0</v>
      </c>
      <c r="N13" s="55">
        <f>IF(A13="","",M13*Configuracion!$B$10)</f>
        <v>0</v>
      </c>
      <c r="O13" s="56" t="str">
        <f t="shared" si="4"/>
        <v/>
      </c>
      <c r="P13" s="57"/>
    </row>
    <row r="14" spans="1:16" ht="21" customHeight="1">
      <c r="A14" s="50">
        <f>IF(8&lt;=DAY(EOMONTH(DATE(Configuracion!$B$7,Configuracion!$B$8,1),0)),DATE(Configuracion!$B$7,Configuracion!$B$8,8),"")</f>
        <v>46181</v>
      </c>
      <c r="B14" s="51" t="str">
        <f t="shared" si="0"/>
        <v>Lunes</v>
      </c>
      <c r="C14" s="52">
        <f t="shared" si="1"/>
        <v>2</v>
      </c>
      <c r="D14" s="53"/>
      <c r="E14" s="53"/>
      <c r="F14" s="53"/>
      <c r="G14" s="53"/>
      <c r="H14" s="53"/>
      <c r="I14" s="54">
        <f t="shared" si="2"/>
        <v>0</v>
      </c>
      <c r="J14" s="54">
        <f>IF(A14="","",IF(WEEKDAY(A14,2)&lt;=4,Configuracion!$B$9,0))</f>
        <v>20</v>
      </c>
      <c r="K14" s="54">
        <f>IF(A14="","",IF(WEEKDAY(A14,2)&lt;=4,Configuracion!$B$9,IF(SUMIFS($J$7:$J$37,$C$7:$C$37,C14)=0,0,ROUNDUP(MAX(0,SUMIFS($J$7:$J$37,$C$7:$C$37,C14)-SUMIFS($I$7:$I$37,$C$7:$C$37,C14,$A$7:$A$37,"&lt;"&amp;A14))/(8-WEEKDAY(A14,2)),0))))</f>
        <v>20</v>
      </c>
      <c r="L14" s="54">
        <f t="shared" si="3"/>
        <v>80</v>
      </c>
      <c r="M14" s="55">
        <f>IF(A14="","",D14*Configuracion!$B$14+E14*Configuracion!$B$15+F14*Configuracion!$B$16+G14*Configuracion!$B$17+H14*Configuracion!$B$18)</f>
        <v>0</v>
      </c>
      <c r="N14" s="55">
        <f>IF(A14="","",M14*Configuracion!$B$10)</f>
        <v>0</v>
      </c>
      <c r="O14" s="56" t="str">
        <f t="shared" si="4"/>
        <v/>
      </c>
      <c r="P14" s="57"/>
    </row>
    <row r="15" spans="1:16" ht="21" customHeight="1">
      <c r="A15" s="50">
        <f>IF(9&lt;=DAY(EOMONTH(DATE(Configuracion!$B$7,Configuracion!$B$8,1),0)),DATE(Configuracion!$B$7,Configuracion!$B$8,9),"")</f>
        <v>46182</v>
      </c>
      <c r="B15" s="51" t="str">
        <f t="shared" si="0"/>
        <v>Martes</v>
      </c>
      <c r="C15" s="52">
        <f t="shared" si="1"/>
        <v>2</v>
      </c>
      <c r="D15" s="53"/>
      <c r="E15" s="53"/>
      <c r="F15" s="53"/>
      <c r="G15" s="53"/>
      <c r="H15" s="53"/>
      <c r="I15" s="54">
        <f t="shared" si="2"/>
        <v>0</v>
      </c>
      <c r="J15" s="54">
        <f>IF(A15="","",IF(WEEKDAY(A15,2)&lt;=4,Configuracion!$B$9,0))</f>
        <v>20</v>
      </c>
      <c r="K15" s="54">
        <f>IF(A15="","",IF(WEEKDAY(A15,2)&lt;=4,Configuracion!$B$9,IF(SUMIFS($J$7:$J$37,$C$7:$C$37,C15)=0,0,ROUNDUP(MAX(0,SUMIFS($J$7:$J$37,$C$7:$C$37,C15)-SUMIFS($I$7:$I$37,$C$7:$C$37,C15,$A$7:$A$37,"&lt;"&amp;A15))/(8-WEEKDAY(A15,2)),0))))</f>
        <v>20</v>
      </c>
      <c r="L15" s="54">
        <f t="shared" si="3"/>
        <v>80</v>
      </c>
      <c r="M15" s="55">
        <f>IF(A15="","",D15*Configuracion!$B$14+E15*Configuracion!$B$15+F15*Configuracion!$B$16+G15*Configuracion!$B$17+H15*Configuracion!$B$18)</f>
        <v>0</v>
      </c>
      <c r="N15" s="55">
        <f>IF(A15="","",M15*Configuracion!$B$10)</f>
        <v>0</v>
      </c>
      <c r="O15" s="56" t="str">
        <f t="shared" si="4"/>
        <v/>
      </c>
      <c r="P15" s="57"/>
    </row>
    <row r="16" spans="1:16" ht="21" customHeight="1">
      <c r="A16" s="50">
        <f>IF(10&lt;=DAY(EOMONTH(DATE(Configuracion!$B$7,Configuracion!$B$8,1),0)),DATE(Configuracion!$B$7,Configuracion!$B$8,10),"")</f>
        <v>46183</v>
      </c>
      <c r="B16" s="51" t="str">
        <f t="shared" si="0"/>
        <v>Miercoles</v>
      </c>
      <c r="C16" s="52">
        <f t="shared" si="1"/>
        <v>2</v>
      </c>
      <c r="D16" s="53"/>
      <c r="E16" s="53"/>
      <c r="F16" s="53">
        <v>1</v>
      </c>
      <c r="G16" s="53"/>
      <c r="H16" s="53">
        <v>1</v>
      </c>
      <c r="I16" s="54">
        <f t="shared" si="2"/>
        <v>2</v>
      </c>
      <c r="J16" s="54">
        <f>IF(A16="","",IF(WEEKDAY(A16,2)&lt;=4,Configuracion!$B$9,0))</f>
        <v>20</v>
      </c>
      <c r="K16" s="54">
        <f>IF(A16="","",IF(WEEKDAY(A16,2)&lt;=4,Configuracion!$B$9,IF(SUMIFS($J$7:$J$37,$C$7:$C$37,C16)=0,0,ROUNDUP(MAX(0,SUMIFS($J$7:$J$37,$C$7:$C$37,C16)-SUMIFS($I$7:$I$37,$C$7:$C$37,C16,$A$7:$A$37,"&lt;"&amp;A16))/(8-WEEKDAY(A16,2)),0))))</f>
        <v>20</v>
      </c>
      <c r="L16" s="54">
        <f t="shared" si="3"/>
        <v>78</v>
      </c>
      <c r="M16" s="55">
        <f>IF(A16="","",D16*Configuracion!$B$14+E16*Configuracion!$B$15+F16*Configuracion!$B$16+G16*Configuracion!$B$17+H16*Configuracion!$B$18)</f>
        <v>28000</v>
      </c>
      <c r="N16" s="55">
        <f>IF(A16="","",M16*Configuracion!$B$10)</f>
        <v>6160</v>
      </c>
      <c r="O16" s="56" t="str">
        <f t="shared" si="4"/>
        <v>En curso</v>
      </c>
      <c r="P16" s="57"/>
    </row>
    <row r="17" spans="1:16" ht="21" customHeight="1">
      <c r="A17" s="50">
        <f>IF(11&lt;=DAY(EOMONTH(DATE(Configuracion!$B$7,Configuracion!$B$8,1),0)),DATE(Configuracion!$B$7,Configuracion!$B$8,11),"")</f>
        <v>46184</v>
      </c>
      <c r="B17" s="51" t="str">
        <f t="shared" si="0"/>
        <v>Jueves</v>
      </c>
      <c r="C17" s="52">
        <f t="shared" si="1"/>
        <v>2</v>
      </c>
      <c r="D17" s="53">
        <v>16</v>
      </c>
      <c r="E17" s="53">
        <v>1</v>
      </c>
      <c r="F17" s="53"/>
      <c r="G17" s="53"/>
      <c r="H17" s="53"/>
      <c r="I17" s="54">
        <f t="shared" si="2"/>
        <v>17</v>
      </c>
      <c r="J17" s="54">
        <f>IF(A17="","",IF(WEEKDAY(A17,2)&lt;=4,Configuracion!$B$9,0))</f>
        <v>20</v>
      </c>
      <c r="K17" s="54">
        <f>IF(A17="","",IF(WEEKDAY(A17,2)&lt;=4,Configuracion!$B$9,IF(SUMIFS($J$7:$J$37,$C$7:$C$37,C17)=0,0,ROUNDUP(MAX(0,SUMIFS($J$7:$J$37,$C$7:$C$37,C17)-SUMIFS($I$7:$I$37,$C$7:$C$37,C17,$A$7:$A$37,"&lt;"&amp;A17))/(8-WEEKDAY(A17,2)),0))))</f>
        <v>20</v>
      </c>
      <c r="L17" s="54">
        <f t="shared" si="3"/>
        <v>61</v>
      </c>
      <c r="M17" s="55">
        <f>IF(A17="","",D17*Configuracion!$B$14+E17*Configuracion!$B$15+F17*Configuracion!$B$16+G17*Configuracion!$B$17+H17*Configuracion!$B$18)</f>
        <v>542000</v>
      </c>
      <c r="N17" s="55">
        <f>IF(A17="","",M17*Configuracion!$B$10)</f>
        <v>119240</v>
      </c>
      <c r="O17" s="56" t="str">
        <f t="shared" si="4"/>
        <v>En curso</v>
      </c>
      <c r="P17" s="57"/>
    </row>
    <row r="18" spans="1:16" ht="21" customHeight="1">
      <c r="A18" s="50">
        <f>IF(12&lt;=DAY(EOMONTH(DATE(Configuracion!$B$7,Configuracion!$B$8,1),0)),DATE(Configuracion!$B$7,Configuracion!$B$8,12),"")</f>
        <v>46185</v>
      </c>
      <c r="B18" s="51" t="str">
        <f t="shared" si="0"/>
        <v>Viernes</v>
      </c>
      <c r="C18" s="52">
        <f t="shared" si="1"/>
        <v>2</v>
      </c>
      <c r="D18" s="53">
        <v>10</v>
      </c>
      <c r="E18" s="53"/>
      <c r="F18" s="53"/>
      <c r="G18" s="53"/>
      <c r="H18" s="53"/>
      <c r="I18" s="54">
        <f t="shared" si="2"/>
        <v>10</v>
      </c>
      <c r="J18" s="54">
        <f>IF(A18="","",IF(WEEKDAY(A18,2)&lt;=4,Configuracion!$B$9,0))</f>
        <v>0</v>
      </c>
      <c r="K18" s="54">
        <f>IF(A18="","",IF(WEEKDAY(A18,2)&lt;=4,Configuracion!$B$9,IF(SUMIFS($J$7:$J$37,$C$7:$C$37,C18)=0,0,ROUNDUP(MAX(0,SUMIFS($J$7:$J$37,$C$7:$C$37,C18)-SUMIFS($I$7:$I$37,$C$7:$C$37,C18,$A$7:$A$37,"&lt;"&amp;A18))/(8-WEEKDAY(A18,2)),0))))</f>
        <v>21</v>
      </c>
      <c r="L18" s="54">
        <f t="shared" si="3"/>
        <v>51</v>
      </c>
      <c r="M18" s="55">
        <f>IF(A18="","",D18*Configuracion!$B$14+E18*Configuracion!$B$15+F18*Configuracion!$B$16+G18*Configuracion!$B$17+H18*Configuracion!$B$18)</f>
        <v>320000</v>
      </c>
      <c r="N18" s="55">
        <f>IF(A18="","",M18*Configuracion!$B$10)</f>
        <v>70400</v>
      </c>
      <c r="O18" s="56" t="str">
        <f t="shared" si="4"/>
        <v>Recuperando</v>
      </c>
      <c r="P18" s="57"/>
    </row>
    <row r="19" spans="1:16" ht="21" customHeight="1">
      <c r="A19" s="50">
        <f>IF(13&lt;=DAY(EOMONTH(DATE(Configuracion!$B$7,Configuracion!$B$8,1),0)),DATE(Configuracion!$B$7,Configuracion!$B$8,13),"")</f>
        <v>46186</v>
      </c>
      <c r="B19" s="51" t="str">
        <f t="shared" si="0"/>
        <v>Sabado</v>
      </c>
      <c r="C19" s="52">
        <f t="shared" si="1"/>
        <v>2</v>
      </c>
      <c r="D19" s="53">
        <v>19</v>
      </c>
      <c r="E19" s="53">
        <v>1</v>
      </c>
      <c r="F19" s="53"/>
      <c r="G19" s="53"/>
      <c r="H19" s="53"/>
      <c r="I19" s="54">
        <f t="shared" si="2"/>
        <v>20</v>
      </c>
      <c r="J19" s="54">
        <f>IF(A19="","",IF(WEEKDAY(A19,2)&lt;=4,Configuracion!$B$9,0))</f>
        <v>0</v>
      </c>
      <c r="K19" s="54">
        <f>IF(A19="","",IF(WEEKDAY(A19,2)&lt;=4,Configuracion!$B$9,IF(SUMIFS($J$7:$J$37,$C$7:$C$37,C19)=0,0,ROUNDUP(MAX(0,SUMIFS($J$7:$J$37,$C$7:$C$37,C19)-SUMIFS($I$7:$I$37,$C$7:$C$37,C19,$A$7:$A$37,"&lt;"&amp;A19))/(8-WEEKDAY(A19,2)),0))))</f>
        <v>26</v>
      </c>
      <c r="L19" s="54">
        <f t="shared" si="3"/>
        <v>31</v>
      </c>
      <c r="M19" s="55">
        <f>IF(A19="","",D19*Configuracion!$B$14+E19*Configuracion!$B$15+F19*Configuracion!$B$16+G19*Configuracion!$B$17+H19*Configuracion!$B$18)</f>
        <v>638000</v>
      </c>
      <c r="N19" s="55">
        <f>IF(A19="","",M19*Configuracion!$B$10)</f>
        <v>140360</v>
      </c>
      <c r="O19" s="56" t="str">
        <f t="shared" si="4"/>
        <v>Recuperando</v>
      </c>
      <c r="P19" s="57"/>
    </row>
    <row r="20" spans="1:16" ht="21" customHeight="1">
      <c r="A20" s="50">
        <f>IF(14&lt;=DAY(EOMONTH(DATE(Configuracion!$B$7,Configuracion!$B$8,1),0)),DATE(Configuracion!$B$7,Configuracion!$B$8,14),"")</f>
        <v>46187</v>
      </c>
      <c r="B20" s="51" t="str">
        <f t="shared" si="0"/>
        <v>Domingo</v>
      </c>
      <c r="C20" s="52">
        <f t="shared" si="1"/>
        <v>2</v>
      </c>
      <c r="D20" s="53">
        <v>19</v>
      </c>
      <c r="E20" s="53">
        <v>1</v>
      </c>
      <c r="F20" s="53"/>
      <c r="G20" s="53"/>
      <c r="H20" s="53"/>
      <c r="I20" s="54">
        <f t="shared" si="2"/>
        <v>20</v>
      </c>
      <c r="J20" s="54">
        <f>IF(A20="","",IF(WEEKDAY(A20,2)&lt;=4,Configuracion!$B$9,0))</f>
        <v>0</v>
      </c>
      <c r="K20" s="54">
        <f>IF(A20="","",IF(WEEKDAY(A20,2)&lt;=4,Configuracion!$B$9,IF(SUMIFS($J$7:$J$37,$C$7:$C$37,C20)=0,0,ROUNDUP(MAX(0,SUMIFS($J$7:$J$37,$C$7:$C$37,C20)-SUMIFS($I$7:$I$37,$C$7:$C$37,C20,$A$7:$A$37,"&lt;"&amp;A20))/(8-WEEKDAY(A20,2)),0))))</f>
        <v>31</v>
      </c>
      <c r="L20" s="54">
        <f t="shared" si="3"/>
        <v>11</v>
      </c>
      <c r="M20" s="55">
        <f>IF(A20="","",D20*Configuracion!$B$14+E20*Configuracion!$B$15+F20*Configuracion!$B$16+G20*Configuracion!$B$17+H20*Configuracion!$B$18)</f>
        <v>638000</v>
      </c>
      <c r="N20" s="55">
        <f>IF(A20="","",M20*Configuracion!$B$10)</f>
        <v>140360</v>
      </c>
      <c r="O20" s="56" t="str">
        <f t="shared" si="4"/>
        <v>Recuperando</v>
      </c>
      <c r="P20" s="57"/>
    </row>
    <row r="21" spans="1:16" ht="21" customHeight="1">
      <c r="A21" s="50">
        <f>IF(15&lt;=DAY(EOMONTH(DATE(Configuracion!$B$7,Configuracion!$B$8,1),0)),DATE(Configuracion!$B$7,Configuracion!$B$8,15),"")</f>
        <v>46188</v>
      </c>
      <c r="B21" s="51" t="str">
        <f t="shared" si="0"/>
        <v>Lunes</v>
      </c>
      <c r="C21" s="52">
        <f t="shared" si="1"/>
        <v>3</v>
      </c>
      <c r="D21" s="53">
        <v>3</v>
      </c>
      <c r="E21" s="53"/>
      <c r="F21" s="53">
        <v>9</v>
      </c>
      <c r="G21" s="53"/>
      <c r="H21" s="53"/>
      <c r="I21" s="54">
        <f t="shared" si="2"/>
        <v>12</v>
      </c>
      <c r="J21" s="54">
        <f>IF(A21="","",IF(WEEKDAY(A21,2)&lt;=4,Configuracion!$B$9,0))</f>
        <v>20</v>
      </c>
      <c r="K21" s="54">
        <f>IF(A21="","",IF(WEEKDAY(A21,2)&lt;=4,Configuracion!$B$9,IF(SUMIFS($J$7:$J$37,$C$7:$C$37,C21)=0,0,ROUNDUP(MAX(0,SUMIFS($J$7:$J$37,$C$7:$C$37,C21)-SUMIFS($I$7:$I$37,$C$7:$C$37,C21,$A$7:$A$37,"&lt;"&amp;A21))/(8-WEEKDAY(A21,2)),0))))</f>
        <v>20</v>
      </c>
      <c r="L21" s="54">
        <f t="shared" si="3"/>
        <v>68</v>
      </c>
      <c r="M21" s="55">
        <f>IF(A21="","",D21*Configuracion!$B$14+E21*Configuracion!$B$15+F21*Configuracion!$B$16+G21*Configuracion!$B$17+H21*Configuracion!$B$18)</f>
        <v>240000</v>
      </c>
      <c r="N21" s="55">
        <f>IF(A21="","",M21*Configuracion!$B$10)</f>
        <v>52800</v>
      </c>
      <c r="O21" s="56" t="str">
        <f t="shared" si="4"/>
        <v>En curso</v>
      </c>
      <c r="P21" s="57"/>
    </row>
    <row r="22" spans="1:16" ht="21" customHeight="1">
      <c r="A22" s="50">
        <f>IF(16&lt;=DAY(EOMONTH(DATE(Configuracion!$B$7,Configuracion!$B$8,1),0)),DATE(Configuracion!$B$7,Configuracion!$B$8,16),"")</f>
        <v>46189</v>
      </c>
      <c r="B22" s="51" t="str">
        <f t="shared" si="0"/>
        <v>Martes</v>
      </c>
      <c r="C22" s="52">
        <f t="shared" si="1"/>
        <v>3</v>
      </c>
      <c r="D22" s="53"/>
      <c r="E22" s="53"/>
      <c r="F22" s="53"/>
      <c r="G22" s="53"/>
      <c r="H22" s="53"/>
      <c r="I22" s="54">
        <f t="shared" si="2"/>
        <v>0</v>
      </c>
      <c r="J22" s="54">
        <f>IF(A22="","",IF(WEEKDAY(A22,2)&lt;=4,Configuracion!$B$9,0))</f>
        <v>20</v>
      </c>
      <c r="K22" s="54">
        <f>IF(A22="","",IF(WEEKDAY(A22,2)&lt;=4,Configuracion!$B$9,IF(SUMIFS($J$7:$J$37,$C$7:$C$37,C22)=0,0,ROUNDUP(MAX(0,SUMIFS($J$7:$J$37,$C$7:$C$37,C22)-SUMIFS($I$7:$I$37,$C$7:$C$37,C22,$A$7:$A$37,"&lt;"&amp;A22))/(8-WEEKDAY(A22,2)),0))))</f>
        <v>20</v>
      </c>
      <c r="L22" s="54">
        <f t="shared" si="3"/>
        <v>68</v>
      </c>
      <c r="M22" s="55">
        <f>IF(A22="","",D22*Configuracion!$B$14+E22*Configuracion!$B$15+F22*Configuracion!$B$16+G22*Configuracion!$B$17+H22*Configuracion!$B$18)</f>
        <v>0</v>
      </c>
      <c r="N22" s="55">
        <f>IF(A22="","",M22*Configuracion!$B$10)</f>
        <v>0</v>
      </c>
      <c r="O22" s="56" t="str">
        <f t="shared" si="4"/>
        <v/>
      </c>
      <c r="P22" s="57"/>
    </row>
    <row r="23" spans="1:16" ht="21" customHeight="1">
      <c r="A23" s="50">
        <f>IF(17&lt;=DAY(EOMONTH(DATE(Configuracion!$B$7,Configuracion!$B$8,1),0)),DATE(Configuracion!$B$7,Configuracion!$B$8,17),"")</f>
        <v>46190</v>
      </c>
      <c r="B23" s="51" t="str">
        <f t="shared" si="0"/>
        <v>Miercoles</v>
      </c>
      <c r="C23" s="52">
        <f t="shared" si="1"/>
        <v>3</v>
      </c>
      <c r="D23" s="53"/>
      <c r="E23" s="53"/>
      <c r="F23" s="53"/>
      <c r="G23" s="53"/>
      <c r="H23" s="53"/>
      <c r="I23" s="54">
        <f t="shared" si="2"/>
        <v>0</v>
      </c>
      <c r="J23" s="54">
        <f>IF(A23="","",IF(WEEKDAY(A23,2)&lt;=4,Configuracion!$B$9,0))</f>
        <v>20</v>
      </c>
      <c r="K23" s="54">
        <f>IF(A23="","",IF(WEEKDAY(A23,2)&lt;=4,Configuracion!$B$9,IF(SUMIFS($J$7:$J$37,$C$7:$C$37,C23)=0,0,ROUNDUP(MAX(0,SUMIFS($J$7:$J$37,$C$7:$C$37,C23)-SUMIFS($I$7:$I$37,$C$7:$C$37,C23,$A$7:$A$37,"&lt;"&amp;A23))/(8-WEEKDAY(A23,2)),0))))</f>
        <v>20</v>
      </c>
      <c r="L23" s="54">
        <f t="shared" si="3"/>
        <v>68</v>
      </c>
      <c r="M23" s="55">
        <f>IF(A23="","",D23*Configuracion!$B$14+E23*Configuracion!$B$15+F23*Configuracion!$B$16+G23*Configuracion!$B$17+H23*Configuracion!$B$18)</f>
        <v>0</v>
      </c>
      <c r="N23" s="55">
        <f>IF(A23="","",M23*Configuracion!$B$10)</f>
        <v>0</v>
      </c>
      <c r="O23" s="56" t="str">
        <f t="shared" si="4"/>
        <v/>
      </c>
      <c r="P23" s="57"/>
    </row>
    <row r="24" spans="1:16" ht="21" customHeight="1">
      <c r="A24" s="50">
        <f>IF(18&lt;=DAY(EOMONTH(DATE(Configuracion!$B$7,Configuracion!$B$8,1),0)),DATE(Configuracion!$B$7,Configuracion!$B$8,18),"")</f>
        <v>46191</v>
      </c>
      <c r="B24" s="51" t="str">
        <f t="shared" si="0"/>
        <v>Jueves</v>
      </c>
      <c r="C24" s="52">
        <f t="shared" si="1"/>
        <v>3</v>
      </c>
      <c r="D24" s="53"/>
      <c r="E24" s="53"/>
      <c r="F24" s="53"/>
      <c r="G24" s="53"/>
      <c r="H24" s="53"/>
      <c r="I24" s="54">
        <f t="shared" si="2"/>
        <v>0</v>
      </c>
      <c r="J24" s="54">
        <f>IF(A24="","",IF(WEEKDAY(A24,2)&lt;=4,Configuracion!$B$9,0))</f>
        <v>20</v>
      </c>
      <c r="K24" s="54">
        <f>IF(A24="","",IF(WEEKDAY(A24,2)&lt;=4,Configuracion!$B$9,IF(SUMIFS($J$7:$J$37,$C$7:$C$37,C24)=0,0,ROUNDUP(MAX(0,SUMIFS($J$7:$J$37,$C$7:$C$37,C24)-SUMIFS($I$7:$I$37,$C$7:$C$37,C24,$A$7:$A$37,"&lt;"&amp;A24))/(8-WEEKDAY(A24,2)),0))))</f>
        <v>20</v>
      </c>
      <c r="L24" s="54">
        <f t="shared" si="3"/>
        <v>68</v>
      </c>
      <c r="M24" s="55">
        <f>IF(A24="","",D24*Configuracion!$B$14+E24*Configuracion!$B$15+F24*Configuracion!$B$16+G24*Configuracion!$B$17+H24*Configuracion!$B$18)</f>
        <v>0</v>
      </c>
      <c r="N24" s="55">
        <f>IF(A24="","",M24*Configuracion!$B$10)</f>
        <v>0</v>
      </c>
      <c r="O24" s="56" t="str">
        <f t="shared" si="4"/>
        <v/>
      </c>
      <c r="P24" s="57"/>
    </row>
    <row r="25" spans="1:16" ht="21" customHeight="1">
      <c r="A25" s="50">
        <f>IF(19&lt;=DAY(EOMONTH(DATE(Configuracion!$B$7,Configuracion!$B$8,1),0)),DATE(Configuracion!$B$7,Configuracion!$B$8,19),"")</f>
        <v>46192</v>
      </c>
      <c r="B25" s="51" t="str">
        <f t="shared" si="0"/>
        <v>Viernes</v>
      </c>
      <c r="C25" s="52">
        <f t="shared" si="1"/>
        <v>3</v>
      </c>
      <c r="D25" s="53"/>
      <c r="E25" s="53"/>
      <c r="F25" s="53"/>
      <c r="G25" s="53"/>
      <c r="H25" s="53"/>
      <c r="I25" s="54">
        <f t="shared" si="2"/>
        <v>0</v>
      </c>
      <c r="J25" s="54">
        <f>IF(A25="","",IF(WEEKDAY(A25,2)&lt;=4,Configuracion!$B$9,0))</f>
        <v>0</v>
      </c>
      <c r="K25" s="54">
        <f>IF(A25="","",IF(WEEKDAY(A25,2)&lt;=4,Configuracion!$B$9,IF(SUMIFS($J$7:$J$37,$C$7:$C$37,C25)=0,0,ROUNDUP(MAX(0,SUMIFS($J$7:$J$37,$C$7:$C$37,C25)-SUMIFS($I$7:$I$37,$C$7:$C$37,C25,$A$7:$A$37,"&lt;"&amp;A25))/(8-WEEKDAY(A25,2)),0))))</f>
        <v>23</v>
      </c>
      <c r="L25" s="54">
        <f t="shared" si="3"/>
        <v>68</v>
      </c>
      <c r="M25" s="55">
        <f>IF(A25="","",D25*Configuracion!$B$14+E25*Configuracion!$B$15+F25*Configuracion!$B$16+G25*Configuracion!$B$17+H25*Configuracion!$B$18)</f>
        <v>0</v>
      </c>
      <c r="N25" s="55">
        <f>IF(A25="","",M25*Configuracion!$B$10)</f>
        <v>0</v>
      </c>
      <c r="O25" s="56" t="str">
        <f t="shared" si="4"/>
        <v/>
      </c>
      <c r="P25" s="57"/>
    </row>
    <row r="26" spans="1:16" ht="21" customHeight="1">
      <c r="A26" s="50">
        <f>IF(20&lt;=DAY(EOMONTH(DATE(Configuracion!$B$7,Configuracion!$B$8,1),0)),DATE(Configuracion!$B$7,Configuracion!$B$8,20),"")</f>
        <v>46193</v>
      </c>
      <c r="B26" s="51" t="str">
        <f t="shared" si="0"/>
        <v>Sabado</v>
      </c>
      <c r="C26" s="52">
        <f t="shared" si="1"/>
        <v>3</v>
      </c>
      <c r="D26" s="53"/>
      <c r="E26" s="53"/>
      <c r="F26" s="53"/>
      <c r="G26" s="53"/>
      <c r="H26" s="53"/>
      <c r="I26" s="54">
        <f t="shared" si="2"/>
        <v>0</v>
      </c>
      <c r="J26" s="54">
        <f>IF(A26="","",IF(WEEKDAY(A26,2)&lt;=4,Configuracion!$B$9,0))</f>
        <v>0</v>
      </c>
      <c r="K26" s="54">
        <f>IF(A26="","",IF(WEEKDAY(A26,2)&lt;=4,Configuracion!$B$9,IF(SUMIFS($J$7:$J$37,$C$7:$C$37,C26)=0,0,ROUNDUP(MAX(0,SUMIFS($J$7:$J$37,$C$7:$C$37,C26)-SUMIFS($I$7:$I$37,$C$7:$C$37,C26,$A$7:$A$37,"&lt;"&amp;A26))/(8-WEEKDAY(A26,2)),0))))</f>
        <v>34</v>
      </c>
      <c r="L26" s="54">
        <f t="shared" si="3"/>
        <v>68</v>
      </c>
      <c r="M26" s="55">
        <f>IF(A26="","",D26*Configuracion!$B$14+E26*Configuracion!$B$15+F26*Configuracion!$B$16+G26*Configuracion!$B$17+H26*Configuracion!$B$18)</f>
        <v>0</v>
      </c>
      <c r="N26" s="55">
        <f>IF(A26="","",M26*Configuracion!$B$10)</f>
        <v>0</v>
      </c>
      <c r="O26" s="56" t="str">
        <f t="shared" si="4"/>
        <v/>
      </c>
      <c r="P26" s="57"/>
    </row>
    <row r="27" spans="1:16" ht="21" customHeight="1">
      <c r="A27" s="50">
        <f>IF(21&lt;=DAY(EOMONTH(DATE(Configuracion!$B$7,Configuracion!$B$8,1),0)),DATE(Configuracion!$B$7,Configuracion!$B$8,21),"")</f>
        <v>46194</v>
      </c>
      <c r="B27" s="51" t="str">
        <f t="shared" si="0"/>
        <v>Domingo</v>
      </c>
      <c r="C27" s="52">
        <f t="shared" si="1"/>
        <v>3</v>
      </c>
      <c r="D27" s="53"/>
      <c r="E27" s="53"/>
      <c r="F27" s="53"/>
      <c r="G27" s="53"/>
      <c r="H27" s="53"/>
      <c r="I27" s="54">
        <f t="shared" si="2"/>
        <v>0</v>
      </c>
      <c r="J27" s="54">
        <f>IF(A27="","",IF(WEEKDAY(A27,2)&lt;=4,Configuracion!$B$9,0))</f>
        <v>0</v>
      </c>
      <c r="K27" s="54">
        <f>IF(A27="","",IF(WEEKDAY(A27,2)&lt;=4,Configuracion!$B$9,IF(SUMIFS($J$7:$J$37,$C$7:$C$37,C27)=0,0,ROUNDUP(MAX(0,SUMIFS($J$7:$J$37,$C$7:$C$37,C27)-SUMIFS($I$7:$I$37,$C$7:$C$37,C27,$A$7:$A$37,"&lt;"&amp;A27))/(8-WEEKDAY(A27,2)),0))))</f>
        <v>68</v>
      </c>
      <c r="L27" s="54">
        <f t="shared" si="3"/>
        <v>68</v>
      </c>
      <c r="M27" s="55">
        <f>IF(A27="","",D27*Configuracion!$B$14+E27*Configuracion!$B$15+F27*Configuracion!$B$16+G27*Configuracion!$B$17+H27*Configuracion!$B$18)</f>
        <v>0</v>
      </c>
      <c r="N27" s="55">
        <f>IF(A27="","",M27*Configuracion!$B$10)</f>
        <v>0</v>
      </c>
      <c r="O27" s="56" t="str">
        <f t="shared" si="4"/>
        <v/>
      </c>
      <c r="P27" s="57"/>
    </row>
    <row r="28" spans="1:16" ht="21" customHeight="1">
      <c r="A28" s="50">
        <f>IF(22&lt;=DAY(EOMONTH(DATE(Configuracion!$B$7,Configuracion!$B$8,1),0)),DATE(Configuracion!$B$7,Configuracion!$B$8,22),"")</f>
        <v>46195</v>
      </c>
      <c r="B28" s="51" t="str">
        <f t="shared" si="0"/>
        <v>Lunes</v>
      </c>
      <c r="C28" s="52">
        <f t="shared" si="1"/>
        <v>4</v>
      </c>
      <c r="D28" s="53"/>
      <c r="E28" s="53"/>
      <c r="F28" s="53"/>
      <c r="G28" s="53"/>
      <c r="H28" s="53"/>
      <c r="I28" s="54">
        <f t="shared" si="2"/>
        <v>0</v>
      </c>
      <c r="J28" s="54">
        <f>IF(A28="","",IF(WEEKDAY(A28,2)&lt;=4,Configuracion!$B$9,0))</f>
        <v>20</v>
      </c>
      <c r="K28" s="54">
        <f>IF(A28="","",IF(WEEKDAY(A28,2)&lt;=4,Configuracion!$B$9,IF(SUMIFS($J$7:$J$37,$C$7:$C$37,C28)=0,0,ROUNDUP(MAX(0,SUMIFS($J$7:$J$37,$C$7:$C$37,C28)-SUMIFS($I$7:$I$37,$C$7:$C$37,C28,$A$7:$A$37,"&lt;"&amp;A28))/(8-WEEKDAY(A28,2)),0))))</f>
        <v>20</v>
      </c>
      <c r="L28" s="54">
        <f t="shared" si="3"/>
        <v>80</v>
      </c>
      <c r="M28" s="55">
        <f>IF(A28="","",D28*Configuracion!$B$14+E28*Configuracion!$B$15+F28*Configuracion!$B$16+G28*Configuracion!$B$17+H28*Configuracion!$B$18)</f>
        <v>0</v>
      </c>
      <c r="N28" s="55">
        <f>IF(A28="","",M28*Configuracion!$B$10)</f>
        <v>0</v>
      </c>
      <c r="O28" s="56" t="str">
        <f t="shared" si="4"/>
        <v/>
      </c>
      <c r="P28" s="57"/>
    </row>
    <row r="29" spans="1:16" ht="21" customHeight="1">
      <c r="A29" s="50">
        <f>IF(23&lt;=DAY(EOMONTH(DATE(Configuracion!$B$7,Configuracion!$B$8,1),0)),DATE(Configuracion!$B$7,Configuracion!$B$8,23),"")</f>
        <v>46196</v>
      </c>
      <c r="B29" s="51" t="str">
        <f t="shared" si="0"/>
        <v>Martes</v>
      </c>
      <c r="C29" s="52">
        <f t="shared" si="1"/>
        <v>4</v>
      </c>
      <c r="D29" s="53"/>
      <c r="E29" s="53"/>
      <c r="F29" s="53"/>
      <c r="G29" s="53"/>
      <c r="H29" s="53"/>
      <c r="I29" s="54">
        <f t="shared" si="2"/>
        <v>0</v>
      </c>
      <c r="J29" s="54">
        <f>IF(A29="","",IF(WEEKDAY(A29,2)&lt;=4,Configuracion!$B$9,0))</f>
        <v>20</v>
      </c>
      <c r="K29" s="54">
        <f>IF(A29="","",IF(WEEKDAY(A29,2)&lt;=4,Configuracion!$B$9,IF(SUMIFS($J$7:$J$37,$C$7:$C$37,C29)=0,0,ROUNDUP(MAX(0,SUMIFS($J$7:$J$37,$C$7:$C$37,C29)-SUMIFS($I$7:$I$37,$C$7:$C$37,C29,$A$7:$A$37,"&lt;"&amp;A29))/(8-WEEKDAY(A29,2)),0))))</f>
        <v>20</v>
      </c>
      <c r="L29" s="54">
        <f t="shared" si="3"/>
        <v>80</v>
      </c>
      <c r="M29" s="55">
        <f>IF(A29="","",D29*Configuracion!$B$14+E29*Configuracion!$B$15+F29*Configuracion!$B$16+G29*Configuracion!$B$17+H29*Configuracion!$B$18)</f>
        <v>0</v>
      </c>
      <c r="N29" s="55">
        <f>IF(A29="","",M29*Configuracion!$B$10)</f>
        <v>0</v>
      </c>
      <c r="O29" s="56" t="str">
        <f t="shared" si="4"/>
        <v/>
      </c>
      <c r="P29" s="57"/>
    </row>
    <row r="30" spans="1:16" ht="21" customHeight="1">
      <c r="A30" s="50">
        <f>IF(24&lt;=DAY(EOMONTH(DATE(Configuracion!$B$7,Configuracion!$B$8,1),0)),DATE(Configuracion!$B$7,Configuracion!$B$8,24),"")</f>
        <v>46197</v>
      </c>
      <c r="B30" s="51" t="str">
        <f t="shared" si="0"/>
        <v>Miercoles</v>
      </c>
      <c r="C30" s="52">
        <f t="shared" si="1"/>
        <v>4</v>
      </c>
      <c r="D30" s="53"/>
      <c r="E30" s="53"/>
      <c r="F30" s="53"/>
      <c r="G30" s="53"/>
      <c r="H30" s="53"/>
      <c r="I30" s="54">
        <f t="shared" si="2"/>
        <v>0</v>
      </c>
      <c r="J30" s="54">
        <f>IF(A30="","",IF(WEEKDAY(A30,2)&lt;=4,Configuracion!$B$9,0))</f>
        <v>20</v>
      </c>
      <c r="K30" s="54">
        <f>IF(A30="","",IF(WEEKDAY(A30,2)&lt;=4,Configuracion!$B$9,IF(SUMIFS($J$7:$J$37,$C$7:$C$37,C30)=0,0,ROUNDUP(MAX(0,SUMIFS($J$7:$J$37,$C$7:$C$37,C30)-SUMIFS($I$7:$I$37,$C$7:$C$37,C30,$A$7:$A$37,"&lt;"&amp;A30))/(8-WEEKDAY(A30,2)),0))))</f>
        <v>20</v>
      </c>
      <c r="L30" s="54">
        <f t="shared" si="3"/>
        <v>80</v>
      </c>
      <c r="M30" s="55">
        <f>IF(A30="","",D30*Configuracion!$B$14+E30*Configuracion!$B$15+F30*Configuracion!$B$16+G30*Configuracion!$B$17+H30*Configuracion!$B$18)</f>
        <v>0</v>
      </c>
      <c r="N30" s="55">
        <f>IF(A30="","",M30*Configuracion!$B$10)</f>
        <v>0</v>
      </c>
      <c r="O30" s="56" t="str">
        <f t="shared" si="4"/>
        <v/>
      </c>
      <c r="P30" s="57"/>
    </row>
    <row r="31" spans="1:16" ht="21" customHeight="1">
      <c r="A31" s="50">
        <f>IF(25&lt;=DAY(EOMONTH(DATE(Configuracion!$B$7,Configuracion!$B$8,1),0)),DATE(Configuracion!$B$7,Configuracion!$B$8,25),"")</f>
        <v>46198</v>
      </c>
      <c r="B31" s="51" t="str">
        <f t="shared" si="0"/>
        <v>Jueves</v>
      </c>
      <c r="C31" s="52">
        <f t="shared" si="1"/>
        <v>4</v>
      </c>
      <c r="D31" s="53"/>
      <c r="E31" s="53"/>
      <c r="F31" s="53"/>
      <c r="G31" s="53"/>
      <c r="H31" s="53"/>
      <c r="I31" s="54">
        <f t="shared" si="2"/>
        <v>0</v>
      </c>
      <c r="J31" s="54">
        <f>IF(A31="","",IF(WEEKDAY(A31,2)&lt;=4,Configuracion!$B$9,0))</f>
        <v>20</v>
      </c>
      <c r="K31" s="54">
        <f>IF(A31="","",IF(WEEKDAY(A31,2)&lt;=4,Configuracion!$B$9,IF(SUMIFS($J$7:$J$37,$C$7:$C$37,C31)=0,0,ROUNDUP(MAX(0,SUMIFS($J$7:$J$37,$C$7:$C$37,C31)-SUMIFS($I$7:$I$37,$C$7:$C$37,C31,$A$7:$A$37,"&lt;"&amp;A31))/(8-WEEKDAY(A31,2)),0))))</f>
        <v>20</v>
      </c>
      <c r="L31" s="54">
        <f t="shared" si="3"/>
        <v>80</v>
      </c>
      <c r="M31" s="55">
        <f>IF(A31="","",D31*Configuracion!$B$14+E31*Configuracion!$B$15+F31*Configuracion!$B$16+G31*Configuracion!$B$17+H31*Configuracion!$B$18)</f>
        <v>0</v>
      </c>
      <c r="N31" s="55">
        <f>IF(A31="","",M31*Configuracion!$B$10)</f>
        <v>0</v>
      </c>
      <c r="O31" s="56" t="str">
        <f t="shared" si="4"/>
        <v/>
      </c>
      <c r="P31" s="57"/>
    </row>
    <row r="32" spans="1:16" ht="21" customHeight="1">
      <c r="A32" s="50">
        <f>IF(26&lt;=DAY(EOMONTH(DATE(Configuracion!$B$7,Configuracion!$B$8,1),0)),DATE(Configuracion!$B$7,Configuracion!$B$8,26),"")</f>
        <v>46199</v>
      </c>
      <c r="B32" s="51" t="str">
        <f t="shared" si="0"/>
        <v>Viernes</v>
      </c>
      <c r="C32" s="52">
        <f t="shared" si="1"/>
        <v>4</v>
      </c>
      <c r="D32" s="53"/>
      <c r="E32" s="53"/>
      <c r="F32" s="53"/>
      <c r="G32" s="53"/>
      <c r="H32" s="53"/>
      <c r="I32" s="54">
        <f t="shared" si="2"/>
        <v>0</v>
      </c>
      <c r="J32" s="54">
        <f>IF(A32="","",IF(WEEKDAY(A32,2)&lt;=4,Configuracion!$B$9,0))</f>
        <v>0</v>
      </c>
      <c r="K32" s="54">
        <f>IF(A32="","",IF(WEEKDAY(A32,2)&lt;=4,Configuracion!$B$9,IF(SUMIFS($J$7:$J$37,$C$7:$C$37,C32)=0,0,ROUNDUP(MAX(0,SUMIFS($J$7:$J$37,$C$7:$C$37,C32)-SUMIFS($I$7:$I$37,$C$7:$C$37,C32,$A$7:$A$37,"&lt;"&amp;A32))/(8-WEEKDAY(A32,2)),0))))</f>
        <v>27</v>
      </c>
      <c r="L32" s="54">
        <f t="shared" si="3"/>
        <v>80</v>
      </c>
      <c r="M32" s="55">
        <f>IF(A32="","",D32*Configuracion!$B$14+E32*Configuracion!$B$15+F32*Configuracion!$B$16+G32*Configuracion!$B$17+H32*Configuracion!$B$18)</f>
        <v>0</v>
      </c>
      <c r="N32" s="55">
        <f>IF(A32="","",M32*Configuracion!$B$10)</f>
        <v>0</v>
      </c>
      <c r="O32" s="56" t="str">
        <f t="shared" si="4"/>
        <v/>
      </c>
      <c r="P32" s="57"/>
    </row>
    <row r="33" spans="1:16" ht="21" customHeight="1">
      <c r="A33" s="50">
        <f>IF(27&lt;=DAY(EOMONTH(DATE(Configuracion!$B$7,Configuracion!$B$8,1),0)),DATE(Configuracion!$B$7,Configuracion!$B$8,27),"")</f>
        <v>46200</v>
      </c>
      <c r="B33" s="51" t="str">
        <f t="shared" si="0"/>
        <v>Sabado</v>
      </c>
      <c r="C33" s="52">
        <f t="shared" si="1"/>
        <v>4</v>
      </c>
      <c r="D33" s="53"/>
      <c r="E33" s="53"/>
      <c r="F33" s="53"/>
      <c r="G33" s="53"/>
      <c r="H33" s="53"/>
      <c r="I33" s="54">
        <f t="shared" si="2"/>
        <v>0</v>
      </c>
      <c r="J33" s="54">
        <f>IF(A33="","",IF(WEEKDAY(A33,2)&lt;=4,Configuracion!$B$9,0))</f>
        <v>0</v>
      </c>
      <c r="K33" s="54">
        <f>IF(A33="","",IF(WEEKDAY(A33,2)&lt;=4,Configuracion!$B$9,IF(SUMIFS($J$7:$J$37,$C$7:$C$37,C33)=0,0,ROUNDUP(MAX(0,SUMIFS($J$7:$J$37,$C$7:$C$37,C33)-SUMIFS($I$7:$I$37,$C$7:$C$37,C33,$A$7:$A$37,"&lt;"&amp;A33))/(8-WEEKDAY(A33,2)),0))))</f>
        <v>40</v>
      </c>
      <c r="L33" s="54">
        <f t="shared" si="3"/>
        <v>80</v>
      </c>
      <c r="M33" s="55">
        <f>IF(A33="","",D33*Configuracion!$B$14+E33*Configuracion!$B$15+F33*Configuracion!$B$16+G33*Configuracion!$B$17+H33*Configuracion!$B$18)</f>
        <v>0</v>
      </c>
      <c r="N33" s="55">
        <f>IF(A33="","",M33*Configuracion!$B$10)</f>
        <v>0</v>
      </c>
      <c r="O33" s="56" t="str">
        <f t="shared" si="4"/>
        <v/>
      </c>
      <c r="P33" s="57"/>
    </row>
    <row r="34" spans="1:16" ht="21" customHeight="1">
      <c r="A34" s="50">
        <f>IF(28&lt;=DAY(EOMONTH(DATE(Configuracion!$B$7,Configuracion!$B$8,1),0)),DATE(Configuracion!$B$7,Configuracion!$B$8,28),"")</f>
        <v>46201</v>
      </c>
      <c r="B34" s="51" t="str">
        <f t="shared" si="0"/>
        <v>Domingo</v>
      </c>
      <c r="C34" s="52">
        <f t="shared" si="1"/>
        <v>4</v>
      </c>
      <c r="D34" s="53"/>
      <c r="E34" s="53"/>
      <c r="F34" s="53"/>
      <c r="G34" s="53"/>
      <c r="H34" s="53"/>
      <c r="I34" s="54">
        <f t="shared" si="2"/>
        <v>0</v>
      </c>
      <c r="J34" s="54">
        <f>IF(A34="","",IF(WEEKDAY(A34,2)&lt;=4,Configuracion!$B$9,0))</f>
        <v>0</v>
      </c>
      <c r="K34" s="54">
        <f>IF(A34="","",IF(WEEKDAY(A34,2)&lt;=4,Configuracion!$B$9,IF(SUMIFS($J$7:$J$37,$C$7:$C$37,C34)=0,0,ROUNDUP(MAX(0,SUMIFS($J$7:$J$37,$C$7:$C$37,C34)-SUMIFS($I$7:$I$37,$C$7:$C$37,C34,$A$7:$A$37,"&lt;"&amp;A34))/(8-WEEKDAY(A34,2)),0))))</f>
        <v>80</v>
      </c>
      <c r="L34" s="54">
        <f t="shared" si="3"/>
        <v>80</v>
      </c>
      <c r="M34" s="55">
        <f>IF(A34="","",D34*Configuracion!$B$14+E34*Configuracion!$B$15+F34*Configuracion!$B$16+G34*Configuracion!$B$17+H34*Configuracion!$B$18)</f>
        <v>0</v>
      </c>
      <c r="N34" s="55">
        <f>IF(A34="","",M34*Configuracion!$B$10)</f>
        <v>0</v>
      </c>
      <c r="O34" s="56" t="str">
        <f t="shared" si="4"/>
        <v/>
      </c>
      <c r="P34" s="57"/>
    </row>
    <row r="35" spans="1:16" ht="21" customHeight="1">
      <c r="A35" s="50">
        <f>IF(29&lt;=DAY(EOMONTH(DATE(Configuracion!$B$7,Configuracion!$B$8,1),0)),DATE(Configuracion!$B$7,Configuracion!$B$8,29),"")</f>
        <v>46202</v>
      </c>
      <c r="B35" s="51" t="str">
        <f t="shared" si="0"/>
        <v>Lunes</v>
      </c>
      <c r="C35" s="52">
        <f t="shared" si="1"/>
        <v>5</v>
      </c>
      <c r="D35" s="53"/>
      <c r="E35" s="53"/>
      <c r="F35" s="53"/>
      <c r="G35" s="53"/>
      <c r="H35" s="53"/>
      <c r="I35" s="54">
        <f t="shared" si="2"/>
        <v>0</v>
      </c>
      <c r="J35" s="54">
        <f>IF(A35="","",IF(WEEKDAY(A35,2)&lt;=4,Configuracion!$B$9,0))</f>
        <v>20</v>
      </c>
      <c r="K35" s="54">
        <f>IF(A35="","",IF(WEEKDAY(A35,2)&lt;=4,Configuracion!$B$9,IF(SUMIFS($J$7:$J$37,$C$7:$C$37,C35)=0,0,ROUNDUP(MAX(0,SUMIFS($J$7:$J$37,$C$7:$C$37,C35)-SUMIFS($I$7:$I$37,$C$7:$C$37,C35,$A$7:$A$37,"&lt;"&amp;A35))/(8-WEEKDAY(A35,2)),0))))</f>
        <v>20</v>
      </c>
      <c r="L35" s="54">
        <f t="shared" si="3"/>
        <v>40</v>
      </c>
      <c r="M35" s="55">
        <f>IF(A35="","",D35*Configuracion!$B$14+E35*Configuracion!$B$15+F35*Configuracion!$B$16+G35*Configuracion!$B$17+H35*Configuracion!$B$18)</f>
        <v>0</v>
      </c>
      <c r="N35" s="55">
        <f>IF(A35="","",M35*Configuracion!$B$10)</f>
        <v>0</v>
      </c>
      <c r="O35" s="56" t="str">
        <f t="shared" si="4"/>
        <v/>
      </c>
      <c r="P35" s="57"/>
    </row>
    <row r="36" spans="1:16" ht="21" customHeight="1">
      <c r="A36" s="50">
        <f>IF(30&lt;=DAY(EOMONTH(DATE(Configuracion!$B$7,Configuracion!$B$8,1),0)),DATE(Configuracion!$B$7,Configuracion!$B$8,30),"")</f>
        <v>46203</v>
      </c>
      <c r="B36" s="51" t="str">
        <f t="shared" si="0"/>
        <v>Martes</v>
      </c>
      <c r="C36" s="52">
        <f t="shared" si="1"/>
        <v>5</v>
      </c>
      <c r="D36" s="53"/>
      <c r="E36" s="53"/>
      <c r="F36" s="53"/>
      <c r="G36" s="53"/>
      <c r="H36" s="53"/>
      <c r="I36" s="54">
        <f t="shared" si="2"/>
        <v>0</v>
      </c>
      <c r="J36" s="54">
        <f>IF(A36="","",IF(WEEKDAY(A36,2)&lt;=4,Configuracion!$B$9,0))</f>
        <v>20</v>
      </c>
      <c r="K36" s="54">
        <f>IF(A36="","",IF(WEEKDAY(A36,2)&lt;=4,Configuracion!$B$9,IF(SUMIFS($J$7:$J$37,$C$7:$C$37,C36)=0,0,ROUNDUP(MAX(0,SUMIFS($J$7:$J$37,$C$7:$C$37,C36)-SUMIFS($I$7:$I$37,$C$7:$C$37,C36,$A$7:$A$37,"&lt;"&amp;A36))/(8-WEEKDAY(A36,2)),0))))</f>
        <v>20</v>
      </c>
      <c r="L36" s="54">
        <f t="shared" si="3"/>
        <v>40</v>
      </c>
      <c r="M36" s="55">
        <f>IF(A36="","",D36*Configuracion!$B$14+E36*Configuracion!$B$15+F36*Configuracion!$B$16+G36*Configuracion!$B$17+H36*Configuracion!$B$18)</f>
        <v>0</v>
      </c>
      <c r="N36" s="55">
        <f>IF(A36="","",M36*Configuracion!$B$10)</f>
        <v>0</v>
      </c>
      <c r="O36" s="56" t="str">
        <f t="shared" si="4"/>
        <v/>
      </c>
      <c r="P36" s="57"/>
    </row>
    <row r="37" spans="1:16" ht="21" customHeight="1">
      <c r="A37" s="50" t="str">
        <f>IF(31&lt;=DAY(EOMONTH(DATE(Configuracion!$B$7,Configuracion!$B$8,1),0)),DATE(Configuracion!$B$7,Configuracion!$B$8,31),"")</f>
        <v/>
      </c>
      <c r="B37" s="51" t="str">
        <f t="shared" si="0"/>
        <v/>
      </c>
      <c r="C37" s="52" t="str">
        <f t="shared" si="1"/>
        <v/>
      </c>
      <c r="D37" s="53"/>
      <c r="E37" s="53"/>
      <c r="F37" s="53"/>
      <c r="G37" s="53"/>
      <c r="H37" s="53"/>
      <c r="I37" s="54" t="str">
        <f t="shared" si="2"/>
        <v/>
      </c>
      <c r="J37" s="54" t="str">
        <f>IF(A37="","",IF(WEEKDAY(A37,2)&lt;=4,Configuracion!$B$9,0))</f>
        <v/>
      </c>
      <c r="K37" s="54" t="str">
        <f>IF(A37="","",IF(WEEKDAY(A37,2)&lt;=4,Configuracion!$B$9,IF(SUMIFS($J$7:$J$37,$C$7:$C$37,C37)=0,0,ROUNDUP(MAX(0,SUMIFS($J$7:$J$37,$C$7:$C$37,C37)-SUMIFS($I$7:$I$37,$C$7:$C$37,C37,$A$7:$A$37,"&lt;"&amp;A37))/(8-WEEKDAY(A37,2)),0))))</f>
        <v/>
      </c>
      <c r="L37" s="54" t="str">
        <f t="shared" si="3"/>
        <v/>
      </c>
      <c r="M37" s="55" t="str">
        <f>IF(A37="","",D37*Configuracion!$B$14+E37*Configuracion!$B$15+F37*Configuracion!$B$16+G37*Configuracion!$B$17+H37*Configuracion!$B$18)</f>
        <v/>
      </c>
      <c r="N37" s="55" t="str">
        <f>IF(A37="","",M37*Configuracion!$B$10)</f>
        <v/>
      </c>
      <c r="O37" s="56" t="str">
        <f t="shared" si="4"/>
        <v/>
      </c>
      <c r="P37" s="57"/>
    </row>
  </sheetData>
  <mergeCells count="3">
    <mergeCell ref="A1:P2"/>
    <mergeCell ref="A3:P3"/>
    <mergeCell ref="A5:P5"/>
  </mergeCells>
  <conditionalFormatting sqref="I7:I37">
    <cfRule type="dataBar" priority="1">
      <dataBar>
        <cfvo type="min"/>
        <cfvo type="max"/>
        <color rgb="FF2F75B5"/>
      </dataBar>
    </cfRule>
    <cfRule type="dataBar" priority="5">
      <dataBar>
        <cfvo type="min"/>
        <cfvo type="max"/>
        <color rgb="FF2F75B5"/>
      </dataBar>
      <extLst>
        <ext xmlns:x14="http://schemas.microsoft.com/office/spreadsheetml/2009/9/main" uri="{B025F937-C7B1-47D3-B67F-A62EFF666E3E}">
          <x14:id>{87667BF6-9305-48A5-8BB2-866CF7FF7B12}</x14:id>
        </ext>
      </extLst>
    </cfRule>
  </conditionalFormatting>
  <conditionalFormatting sqref="L7:L37">
    <cfRule type="cellIs" dxfId="45" priority="2" operator="greaterThan">
      <formula>0</formula>
    </cfRule>
  </conditionalFormatting>
  <conditionalFormatting sqref="O7:O37">
    <cfRule type="containsText" dxfId="44" priority="3" operator="containsText" text="Meta cumplida"/>
    <cfRule type="containsText" dxfId="43" priority="4" operator="containsText" text="Recuperando"/>
  </conditionalFormatting>
  <dataValidations count="1">
    <dataValidation type="whole" sqref="D7:H37" xr:uid="{00000000-0002-0000-0100-000000000000}">
      <formula1>0</formula1>
      <formula2>500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667BF6-9305-48A5-8BB2-866CF7FF7B12}">
            <x14:dataBar>
              <x14:cfvo type="min"/>
              <x14:cfvo type="max"/>
              <x14:negativeFillColor auto="1"/>
              <x14:axisColor auto="1"/>
            </x14:dataBar>
          </x14:cfRule>
          <xm:sqref>I7:I37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5"/>
  <sheetViews>
    <sheetView showGridLines="0" tabSelected="1" workbookViewId="0">
      <selection activeCell="D21" sqref="D21"/>
    </sheetView>
  </sheetViews>
  <sheetFormatPr baseColWidth="10" defaultColWidth="8.83203125" defaultRowHeight="15"/>
  <cols>
    <col min="1" max="1" width="14" style="2" customWidth="1"/>
    <col min="2" max="2" width="8" style="2" customWidth="1"/>
    <col min="3" max="3" width="18" style="2" customWidth="1"/>
    <col min="4" max="4" width="34" style="2" customWidth="1"/>
    <col min="5" max="6" width="15" style="2" customWidth="1"/>
    <col min="7" max="7" width="16" style="2" customWidth="1"/>
    <col min="8" max="8" width="32" style="2" customWidth="1"/>
    <col min="9" max="9" width="10" style="2" customWidth="1"/>
    <col min="10" max="16384" width="8.83203125" style="2"/>
  </cols>
  <sheetData>
    <row r="1" spans="1:9" ht="34" customHeight="1">
      <c r="A1" s="1" t="s">
        <v>69</v>
      </c>
      <c r="B1" s="1" t="s">
        <v>69</v>
      </c>
      <c r="C1" s="1" t="s">
        <v>69</v>
      </c>
      <c r="D1" s="1" t="s">
        <v>69</v>
      </c>
      <c r="E1" s="1" t="s">
        <v>69</v>
      </c>
      <c r="F1" s="1" t="s">
        <v>69</v>
      </c>
      <c r="G1" s="1" t="s">
        <v>69</v>
      </c>
      <c r="H1" s="1" t="s">
        <v>69</v>
      </c>
      <c r="I1" s="1" t="s">
        <v>69</v>
      </c>
    </row>
    <row r="2" spans="1:9" ht="34" customHeight="1">
      <c r="A2" s="1" t="s">
        <v>69</v>
      </c>
      <c r="B2" s="1" t="s">
        <v>69</v>
      </c>
      <c r="C2" s="1" t="s">
        <v>69</v>
      </c>
      <c r="D2" s="1" t="s">
        <v>69</v>
      </c>
      <c r="E2" s="1" t="s">
        <v>69</v>
      </c>
      <c r="F2" s="1" t="s">
        <v>69</v>
      </c>
      <c r="G2" s="1" t="s">
        <v>69</v>
      </c>
      <c r="H2" s="1" t="s">
        <v>69</v>
      </c>
      <c r="I2" s="1" t="s">
        <v>69</v>
      </c>
    </row>
    <row r="3" spans="1:9">
      <c r="A3" s="47" t="str">
        <f>"Periodo activo: "&amp;CHOOSE(Configuracion!$B$8,"Enero","Febrero","Marzo","Abril","Mayo","Junio","Julio","Agosto","Septiembre","Octubre","Noviembre","Diciembre")&amp;" "&amp;Configuracion!$B$7&amp;" | Anota aqui cada egreso."</f>
        <v>Periodo activo: Junio 2026 | Anota aqui cada egreso.</v>
      </c>
      <c r="B3" s="47"/>
      <c r="C3" s="47"/>
      <c r="D3" s="47"/>
      <c r="E3" s="47"/>
      <c r="F3" s="47"/>
      <c r="G3" s="47"/>
      <c r="H3" s="47"/>
      <c r="I3" s="47"/>
    </row>
    <row r="5" spans="1:9">
      <c r="A5" s="48" t="s">
        <v>70</v>
      </c>
      <c r="B5" s="48" t="s">
        <v>70</v>
      </c>
      <c r="C5" s="48" t="s">
        <v>70</v>
      </c>
      <c r="D5" s="48" t="s">
        <v>70</v>
      </c>
      <c r="E5" s="48" t="s">
        <v>70</v>
      </c>
      <c r="F5" s="48" t="s">
        <v>70</v>
      </c>
      <c r="G5" s="48" t="s">
        <v>70</v>
      </c>
      <c r="H5" s="48" t="s">
        <v>70</v>
      </c>
      <c r="I5" s="48" t="s">
        <v>70</v>
      </c>
    </row>
    <row r="6" spans="1:9">
      <c r="A6" s="60" t="s">
        <v>62</v>
      </c>
      <c r="B6" s="60" t="s">
        <v>71</v>
      </c>
      <c r="C6" s="60" t="s">
        <v>56</v>
      </c>
      <c r="D6" s="60" t="s">
        <v>72</v>
      </c>
      <c r="E6" s="60" t="s">
        <v>73</v>
      </c>
      <c r="F6" s="60" t="s">
        <v>74</v>
      </c>
      <c r="G6" s="60" t="s">
        <v>75</v>
      </c>
      <c r="H6" s="60" t="s">
        <v>68</v>
      </c>
      <c r="I6" s="60" t="s">
        <v>76</v>
      </c>
    </row>
    <row r="7" spans="1:9" ht="20" customHeight="1">
      <c r="A7" s="61"/>
      <c r="B7" s="52" t="str">
        <f t="shared" ref="B7:B38" si="0">IF(A7="","",MONTH(A7))</f>
        <v/>
      </c>
      <c r="C7" s="62"/>
      <c r="D7" s="62"/>
      <c r="E7" s="63"/>
      <c r="F7" s="62"/>
      <c r="G7" s="62"/>
      <c r="H7" s="62"/>
      <c r="I7" s="52" t="str">
        <f t="shared" ref="I7:I38" si="1">IF(A7="","",YEAR(A7))</f>
        <v/>
      </c>
    </row>
    <row r="8" spans="1:9" ht="20" customHeight="1">
      <c r="A8" s="61"/>
      <c r="B8" s="52" t="str">
        <f t="shared" si="0"/>
        <v/>
      </c>
      <c r="C8" s="62"/>
      <c r="D8" s="62"/>
      <c r="E8" s="63"/>
      <c r="F8" s="62"/>
      <c r="G8" s="62"/>
      <c r="H8" s="62"/>
      <c r="I8" s="52" t="str">
        <f t="shared" si="1"/>
        <v/>
      </c>
    </row>
    <row r="9" spans="1:9" ht="20" customHeight="1">
      <c r="A9" s="61"/>
      <c r="B9" s="52" t="str">
        <f t="shared" si="0"/>
        <v/>
      </c>
      <c r="C9" s="62"/>
      <c r="D9" s="62"/>
      <c r="E9" s="63"/>
      <c r="F9" s="62"/>
      <c r="G9" s="62"/>
      <c r="H9" s="62"/>
      <c r="I9" s="52" t="str">
        <f t="shared" si="1"/>
        <v/>
      </c>
    </row>
    <row r="10" spans="1:9" ht="20" customHeight="1">
      <c r="A10" s="61"/>
      <c r="B10" s="52" t="str">
        <f t="shared" si="0"/>
        <v/>
      </c>
      <c r="C10" s="62"/>
      <c r="D10" s="62"/>
      <c r="E10" s="63"/>
      <c r="F10" s="62"/>
      <c r="G10" s="62"/>
      <c r="H10" s="62"/>
      <c r="I10" s="52" t="str">
        <f t="shared" si="1"/>
        <v/>
      </c>
    </row>
    <row r="11" spans="1:9" ht="20" customHeight="1">
      <c r="A11" s="61"/>
      <c r="B11" s="52" t="str">
        <f t="shared" si="0"/>
        <v/>
      </c>
      <c r="C11" s="62"/>
      <c r="D11" s="62"/>
      <c r="E11" s="63"/>
      <c r="F11" s="62"/>
      <c r="G11" s="62"/>
      <c r="H11" s="62"/>
      <c r="I11" s="52" t="str">
        <f t="shared" si="1"/>
        <v/>
      </c>
    </row>
    <row r="12" spans="1:9" ht="20" customHeight="1">
      <c r="A12" s="61"/>
      <c r="B12" s="52" t="str">
        <f t="shared" si="0"/>
        <v/>
      </c>
      <c r="C12" s="62"/>
      <c r="D12" s="62"/>
      <c r="E12" s="63"/>
      <c r="F12" s="62"/>
      <c r="G12" s="62"/>
      <c r="H12" s="62"/>
      <c r="I12" s="52" t="str">
        <f t="shared" si="1"/>
        <v/>
      </c>
    </row>
    <row r="13" spans="1:9" ht="20" customHeight="1">
      <c r="A13" s="61"/>
      <c r="B13" s="52" t="str">
        <f t="shared" si="0"/>
        <v/>
      </c>
      <c r="C13" s="62"/>
      <c r="D13" s="62"/>
      <c r="E13" s="63"/>
      <c r="F13" s="62"/>
      <c r="G13" s="62"/>
      <c r="H13" s="62"/>
      <c r="I13" s="52" t="str">
        <f t="shared" si="1"/>
        <v/>
      </c>
    </row>
    <row r="14" spans="1:9" ht="20" customHeight="1">
      <c r="A14" s="61"/>
      <c r="B14" s="52" t="str">
        <f t="shared" si="0"/>
        <v/>
      </c>
      <c r="C14" s="62"/>
      <c r="D14" s="62"/>
      <c r="E14" s="63"/>
      <c r="F14" s="62"/>
      <c r="G14" s="62"/>
      <c r="H14" s="62"/>
      <c r="I14" s="52" t="str">
        <f t="shared" si="1"/>
        <v/>
      </c>
    </row>
    <row r="15" spans="1:9" ht="20" customHeight="1">
      <c r="A15" s="61"/>
      <c r="B15" s="52" t="str">
        <f t="shared" si="0"/>
        <v/>
      </c>
      <c r="C15" s="62"/>
      <c r="D15" s="62"/>
      <c r="E15" s="63"/>
      <c r="F15" s="62"/>
      <c r="G15" s="62"/>
      <c r="H15" s="62"/>
      <c r="I15" s="52" t="str">
        <f t="shared" si="1"/>
        <v/>
      </c>
    </row>
    <row r="16" spans="1:9" ht="20" customHeight="1">
      <c r="A16" s="61"/>
      <c r="B16" s="52" t="str">
        <f t="shared" si="0"/>
        <v/>
      </c>
      <c r="C16" s="62"/>
      <c r="D16" s="62"/>
      <c r="E16" s="63"/>
      <c r="F16" s="62"/>
      <c r="G16" s="62"/>
      <c r="H16" s="62"/>
      <c r="I16" s="52" t="str">
        <f t="shared" si="1"/>
        <v/>
      </c>
    </row>
    <row r="17" spans="1:9" ht="20" customHeight="1">
      <c r="A17" s="61"/>
      <c r="B17" s="52" t="str">
        <f t="shared" si="0"/>
        <v/>
      </c>
      <c r="C17" s="62"/>
      <c r="D17" s="62"/>
      <c r="E17" s="63"/>
      <c r="F17" s="62"/>
      <c r="G17" s="62"/>
      <c r="H17" s="62"/>
      <c r="I17" s="52" t="str">
        <f t="shared" si="1"/>
        <v/>
      </c>
    </row>
    <row r="18" spans="1:9" ht="20" customHeight="1">
      <c r="A18" s="61"/>
      <c r="B18" s="52" t="str">
        <f t="shared" si="0"/>
        <v/>
      </c>
      <c r="C18" s="62"/>
      <c r="D18" s="62"/>
      <c r="E18" s="63"/>
      <c r="F18" s="62"/>
      <c r="G18" s="62"/>
      <c r="H18" s="62"/>
      <c r="I18" s="52" t="str">
        <f t="shared" si="1"/>
        <v/>
      </c>
    </row>
    <row r="19" spans="1:9" ht="20" customHeight="1">
      <c r="A19" s="61"/>
      <c r="B19" s="52" t="str">
        <f t="shared" si="0"/>
        <v/>
      </c>
      <c r="C19" s="62"/>
      <c r="D19" s="62"/>
      <c r="E19" s="63"/>
      <c r="F19" s="62"/>
      <c r="G19" s="62"/>
      <c r="H19" s="62"/>
      <c r="I19" s="52" t="str">
        <f t="shared" si="1"/>
        <v/>
      </c>
    </row>
    <row r="20" spans="1:9" ht="20" customHeight="1">
      <c r="A20" s="61"/>
      <c r="B20" s="52" t="str">
        <f t="shared" si="0"/>
        <v/>
      </c>
      <c r="C20" s="62"/>
      <c r="D20" s="62"/>
      <c r="E20" s="63"/>
      <c r="F20" s="62"/>
      <c r="G20" s="62"/>
      <c r="H20" s="62"/>
      <c r="I20" s="52" t="str">
        <f t="shared" si="1"/>
        <v/>
      </c>
    </row>
    <row r="21" spans="1:9" ht="20" customHeight="1">
      <c r="A21" s="61"/>
      <c r="B21" s="52" t="str">
        <f t="shared" si="0"/>
        <v/>
      </c>
      <c r="C21" s="62"/>
      <c r="D21" s="62"/>
      <c r="E21" s="63"/>
      <c r="F21" s="62"/>
      <c r="G21" s="62"/>
      <c r="H21" s="62"/>
      <c r="I21" s="52" t="str">
        <f t="shared" si="1"/>
        <v/>
      </c>
    </row>
    <row r="22" spans="1:9" ht="20" customHeight="1">
      <c r="A22" s="61"/>
      <c r="B22" s="52" t="str">
        <f t="shared" si="0"/>
        <v/>
      </c>
      <c r="C22" s="62"/>
      <c r="D22" s="62"/>
      <c r="E22" s="63"/>
      <c r="F22" s="62"/>
      <c r="G22" s="62"/>
      <c r="H22" s="62"/>
      <c r="I22" s="52" t="str">
        <f t="shared" si="1"/>
        <v/>
      </c>
    </row>
    <row r="23" spans="1:9" ht="20" customHeight="1">
      <c r="A23" s="61"/>
      <c r="B23" s="52" t="str">
        <f t="shared" si="0"/>
        <v/>
      </c>
      <c r="C23" s="62"/>
      <c r="D23" s="62"/>
      <c r="E23" s="63"/>
      <c r="F23" s="62"/>
      <c r="G23" s="62"/>
      <c r="H23" s="62"/>
      <c r="I23" s="52" t="str">
        <f t="shared" si="1"/>
        <v/>
      </c>
    </row>
    <row r="24" spans="1:9" ht="20" customHeight="1">
      <c r="A24" s="61"/>
      <c r="B24" s="52" t="str">
        <f t="shared" si="0"/>
        <v/>
      </c>
      <c r="C24" s="62"/>
      <c r="D24" s="62"/>
      <c r="E24" s="63"/>
      <c r="F24" s="62"/>
      <c r="G24" s="62"/>
      <c r="H24" s="62"/>
      <c r="I24" s="52" t="str">
        <f t="shared" si="1"/>
        <v/>
      </c>
    </row>
    <row r="25" spans="1:9" ht="20" customHeight="1">
      <c r="A25" s="61"/>
      <c r="B25" s="52" t="str">
        <f t="shared" si="0"/>
        <v/>
      </c>
      <c r="C25" s="62"/>
      <c r="D25" s="62"/>
      <c r="E25" s="63"/>
      <c r="F25" s="62"/>
      <c r="G25" s="62"/>
      <c r="H25" s="62"/>
      <c r="I25" s="52" t="str">
        <f t="shared" si="1"/>
        <v/>
      </c>
    </row>
    <row r="26" spans="1:9" ht="20" customHeight="1">
      <c r="A26" s="61"/>
      <c r="B26" s="52" t="str">
        <f t="shared" si="0"/>
        <v/>
      </c>
      <c r="C26" s="62"/>
      <c r="D26" s="62"/>
      <c r="E26" s="63"/>
      <c r="F26" s="62"/>
      <c r="G26" s="62"/>
      <c r="H26" s="62"/>
      <c r="I26" s="52" t="str">
        <f t="shared" si="1"/>
        <v/>
      </c>
    </row>
    <row r="27" spans="1:9" ht="20" customHeight="1">
      <c r="A27" s="61"/>
      <c r="B27" s="52" t="str">
        <f t="shared" si="0"/>
        <v/>
      </c>
      <c r="C27" s="62"/>
      <c r="D27" s="62"/>
      <c r="E27" s="63"/>
      <c r="F27" s="62"/>
      <c r="G27" s="62"/>
      <c r="H27" s="62"/>
      <c r="I27" s="52" t="str">
        <f t="shared" si="1"/>
        <v/>
      </c>
    </row>
    <row r="28" spans="1:9" ht="20" customHeight="1">
      <c r="A28" s="61"/>
      <c r="B28" s="52" t="str">
        <f t="shared" si="0"/>
        <v/>
      </c>
      <c r="C28" s="62"/>
      <c r="D28" s="62"/>
      <c r="E28" s="63"/>
      <c r="F28" s="62"/>
      <c r="G28" s="62"/>
      <c r="H28" s="62"/>
      <c r="I28" s="52" t="str">
        <f t="shared" si="1"/>
        <v/>
      </c>
    </row>
    <row r="29" spans="1:9" ht="20" customHeight="1">
      <c r="A29" s="61"/>
      <c r="B29" s="52" t="str">
        <f t="shared" si="0"/>
        <v/>
      </c>
      <c r="C29" s="62"/>
      <c r="D29" s="62"/>
      <c r="E29" s="63"/>
      <c r="F29" s="62"/>
      <c r="G29" s="62"/>
      <c r="H29" s="62"/>
      <c r="I29" s="52" t="str">
        <f t="shared" si="1"/>
        <v/>
      </c>
    </row>
    <row r="30" spans="1:9" ht="20" customHeight="1">
      <c r="A30" s="61"/>
      <c r="B30" s="52" t="str">
        <f t="shared" si="0"/>
        <v/>
      </c>
      <c r="C30" s="62"/>
      <c r="D30" s="62"/>
      <c r="E30" s="63"/>
      <c r="F30" s="62"/>
      <c r="G30" s="62"/>
      <c r="H30" s="62"/>
      <c r="I30" s="52" t="str">
        <f t="shared" si="1"/>
        <v/>
      </c>
    </row>
    <row r="31" spans="1:9" ht="20" customHeight="1">
      <c r="A31" s="61"/>
      <c r="B31" s="52" t="str">
        <f t="shared" si="0"/>
        <v/>
      </c>
      <c r="C31" s="62"/>
      <c r="D31" s="62"/>
      <c r="E31" s="63"/>
      <c r="F31" s="62"/>
      <c r="G31" s="62"/>
      <c r="H31" s="62"/>
      <c r="I31" s="52" t="str">
        <f t="shared" si="1"/>
        <v/>
      </c>
    </row>
    <row r="32" spans="1:9" ht="20" customHeight="1">
      <c r="A32" s="61"/>
      <c r="B32" s="52" t="str">
        <f t="shared" si="0"/>
        <v/>
      </c>
      <c r="C32" s="62"/>
      <c r="D32" s="62"/>
      <c r="E32" s="63"/>
      <c r="F32" s="62"/>
      <c r="G32" s="62"/>
      <c r="H32" s="62"/>
      <c r="I32" s="52" t="str">
        <f t="shared" si="1"/>
        <v/>
      </c>
    </row>
    <row r="33" spans="1:9" ht="20" customHeight="1">
      <c r="A33" s="61"/>
      <c r="B33" s="52" t="str">
        <f t="shared" si="0"/>
        <v/>
      </c>
      <c r="C33" s="62"/>
      <c r="D33" s="62"/>
      <c r="E33" s="63"/>
      <c r="F33" s="62"/>
      <c r="G33" s="62"/>
      <c r="H33" s="62"/>
      <c r="I33" s="52" t="str">
        <f t="shared" si="1"/>
        <v/>
      </c>
    </row>
    <row r="34" spans="1:9" ht="20" customHeight="1">
      <c r="A34" s="61"/>
      <c r="B34" s="52" t="str">
        <f t="shared" si="0"/>
        <v/>
      </c>
      <c r="C34" s="62"/>
      <c r="D34" s="62"/>
      <c r="E34" s="63"/>
      <c r="F34" s="62"/>
      <c r="G34" s="62"/>
      <c r="H34" s="62"/>
      <c r="I34" s="52" t="str">
        <f t="shared" si="1"/>
        <v/>
      </c>
    </row>
    <row r="35" spans="1:9" ht="20" customHeight="1">
      <c r="A35" s="61"/>
      <c r="B35" s="52" t="str">
        <f t="shared" si="0"/>
        <v/>
      </c>
      <c r="C35" s="62"/>
      <c r="D35" s="62"/>
      <c r="E35" s="63"/>
      <c r="F35" s="62"/>
      <c r="G35" s="62"/>
      <c r="H35" s="62"/>
      <c r="I35" s="52" t="str">
        <f t="shared" si="1"/>
        <v/>
      </c>
    </row>
    <row r="36" spans="1:9" ht="20" customHeight="1">
      <c r="A36" s="61"/>
      <c r="B36" s="52" t="str">
        <f t="shared" si="0"/>
        <v/>
      </c>
      <c r="C36" s="62"/>
      <c r="D36" s="62"/>
      <c r="E36" s="63"/>
      <c r="F36" s="62"/>
      <c r="G36" s="62"/>
      <c r="H36" s="62"/>
      <c r="I36" s="52" t="str">
        <f t="shared" si="1"/>
        <v/>
      </c>
    </row>
    <row r="37" spans="1:9" ht="20" customHeight="1">
      <c r="A37" s="61"/>
      <c r="B37" s="52" t="str">
        <f t="shared" si="0"/>
        <v/>
      </c>
      <c r="C37" s="62"/>
      <c r="D37" s="62"/>
      <c r="E37" s="63"/>
      <c r="F37" s="62"/>
      <c r="G37" s="62"/>
      <c r="H37" s="62"/>
      <c r="I37" s="52" t="str">
        <f t="shared" si="1"/>
        <v/>
      </c>
    </row>
    <row r="38" spans="1:9" ht="20" customHeight="1">
      <c r="A38" s="61"/>
      <c r="B38" s="52" t="str">
        <f t="shared" si="0"/>
        <v/>
      </c>
      <c r="C38" s="62"/>
      <c r="D38" s="62"/>
      <c r="E38" s="63"/>
      <c r="F38" s="62"/>
      <c r="G38" s="62"/>
      <c r="H38" s="62"/>
      <c r="I38" s="52" t="str">
        <f t="shared" si="1"/>
        <v/>
      </c>
    </row>
    <row r="39" spans="1:9" ht="20" customHeight="1">
      <c r="A39" s="61"/>
      <c r="B39" s="52" t="str">
        <f t="shared" ref="B39:B70" si="2">IF(A39="","",MONTH(A39))</f>
        <v/>
      </c>
      <c r="C39" s="62"/>
      <c r="D39" s="62"/>
      <c r="E39" s="63"/>
      <c r="F39" s="62"/>
      <c r="G39" s="62"/>
      <c r="H39" s="62"/>
      <c r="I39" s="52" t="str">
        <f t="shared" ref="I39:I70" si="3">IF(A39="","",YEAR(A39))</f>
        <v/>
      </c>
    </row>
    <row r="40" spans="1:9" ht="20" customHeight="1">
      <c r="A40" s="61"/>
      <c r="B40" s="52" t="str">
        <f t="shared" si="2"/>
        <v/>
      </c>
      <c r="C40" s="62"/>
      <c r="D40" s="62"/>
      <c r="E40" s="63"/>
      <c r="F40" s="62"/>
      <c r="G40" s="62"/>
      <c r="H40" s="62"/>
      <c r="I40" s="52" t="str">
        <f t="shared" si="3"/>
        <v/>
      </c>
    </row>
    <row r="41" spans="1:9" ht="20" customHeight="1">
      <c r="A41" s="61"/>
      <c r="B41" s="52" t="str">
        <f t="shared" si="2"/>
        <v/>
      </c>
      <c r="C41" s="62"/>
      <c r="D41" s="62"/>
      <c r="E41" s="63"/>
      <c r="F41" s="62"/>
      <c r="G41" s="62"/>
      <c r="H41" s="62"/>
      <c r="I41" s="52" t="str">
        <f t="shared" si="3"/>
        <v/>
      </c>
    </row>
    <row r="42" spans="1:9" ht="20" customHeight="1">
      <c r="A42" s="61"/>
      <c r="B42" s="52" t="str">
        <f t="shared" si="2"/>
        <v/>
      </c>
      <c r="C42" s="62"/>
      <c r="D42" s="62"/>
      <c r="E42" s="63"/>
      <c r="F42" s="62"/>
      <c r="G42" s="62"/>
      <c r="H42" s="62"/>
      <c r="I42" s="52" t="str">
        <f t="shared" si="3"/>
        <v/>
      </c>
    </row>
    <row r="43" spans="1:9" ht="20" customHeight="1">
      <c r="A43" s="61"/>
      <c r="B43" s="52" t="str">
        <f t="shared" si="2"/>
        <v/>
      </c>
      <c r="C43" s="62"/>
      <c r="D43" s="62"/>
      <c r="E43" s="63"/>
      <c r="F43" s="62"/>
      <c r="G43" s="62"/>
      <c r="H43" s="62"/>
      <c r="I43" s="52" t="str">
        <f t="shared" si="3"/>
        <v/>
      </c>
    </row>
    <row r="44" spans="1:9" ht="20" customHeight="1">
      <c r="A44" s="61"/>
      <c r="B44" s="52" t="str">
        <f t="shared" si="2"/>
        <v/>
      </c>
      <c r="C44" s="62"/>
      <c r="D44" s="62"/>
      <c r="E44" s="63"/>
      <c r="F44" s="62"/>
      <c r="G44" s="62"/>
      <c r="H44" s="62"/>
      <c r="I44" s="52" t="str">
        <f t="shared" si="3"/>
        <v/>
      </c>
    </row>
    <row r="45" spans="1:9" ht="20" customHeight="1">
      <c r="A45" s="61"/>
      <c r="B45" s="52" t="str">
        <f t="shared" si="2"/>
        <v/>
      </c>
      <c r="C45" s="62"/>
      <c r="D45" s="62"/>
      <c r="E45" s="63"/>
      <c r="F45" s="62"/>
      <c r="G45" s="62"/>
      <c r="H45" s="62"/>
      <c r="I45" s="52" t="str">
        <f t="shared" si="3"/>
        <v/>
      </c>
    </row>
    <row r="46" spans="1:9" ht="20" customHeight="1">
      <c r="A46" s="61"/>
      <c r="B46" s="52" t="str">
        <f t="shared" si="2"/>
        <v/>
      </c>
      <c r="C46" s="62"/>
      <c r="D46" s="62"/>
      <c r="E46" s="63"/>
      <c r="F46" s="62"/>
      <c r="G46" s="62"/>
      <c r="H46" s="62"/>
      <c r="I46" s="52" t="str">
        <f t="shared" si="3"/>
        <v/>
      </c>
    </row>
    <row r="47" spans="1:9" ht="20" customHeight="1">
      <c r="A47" s="61"/>
      <c r="B47" s="52" t="str">
        <f t="shared" si="2"/>
        <v/>
      </c>
      <c r="C47" s="62"/>
      <c r="D47" s="62"/>
      <c r="E47" s="63"/>
      <c r="F47" s="62"/>
      <c r="G47" s="62"/>
      <c r="H47" s="62"/>
      <c r="I47" s="52" t="str">
        <f t="shared" si="3"/>
        <v/>
      </c>
    </row>
    <row r="48" spans="1:9" ht="20" customHeight="1">
      <c r="A48" s="61"/>
      <c r="B48" s="52" t="str">
        <f t="shared" si="2"/>
        <v/>
      </c>
      <c r="C48" s="62"/>
      <c r="D48" s="62"/>
      <c r="E48" s="63"/>
      <c r="F48" s="62"/>
      <c r="G48" s="62"/>
      <c r="H48" s="62"/>
      <c r="I48" s="52" t="str">
        <f t="shared" si="3"/>
        <v/>
      </c>
    </row>
    <row r="49" spans="1:9" ht="20" customHeight="1">
      <c r="A49" s="61"/>
      <c r="B49" s="52" t="str">
        <f t="shared" si="2"/>
        <v/>
      </c>
      <c r="C49" s="62"/>
      <c r="D49" s="62"/>
      <c r="E49" s="63"/>
      <c r="F49" s="62"/>
      <c r="G49" s="62"/>
      <c r="H49" s="62"/>
      <c r="I49" s="52" t="str">
        <f t="shared" si="3"/>
        <v/>
      </c>
    </row>
    <row r="50" spans="1:9" ht="20" customHeight="1">
      <c r="A50" s="61"/>
      <c r="B50" s="52" t="str">
        <f t="shared" si="2"/>
        <v/>
      </c>
      <c r="C50" s="62"/>
      <c r="D50" s="62"/>
      <c r="E50" s="63"/>
      <c r="F50" s="62"/>
      <c r="G50" s="62"/>
      <c r="H50" s="62"/>
      <c r="I50" s="52" t="str">
        <f t="shared" si="3"/>
        <v/>
      </c>
    </row>
    <row r="51" spans="1:9" ht="20" customHeight="1">
      <c r="A51" s="61"/>
      <c r="B51" s="52" t="str">
        <f t="shared" si="2"/>
        <v/>
      </c>
      <c r="C51" s="62"/>
      <c r="D51" s="62"/>
      <c r="E51" s="63"/>
      <c r="F51" s="62"/>
      <c r="G51" s="62"/>
      <c r="H51" s="62"/>
      <c r="I51" s="52" t="str">
        <f t="shared" si="3"/>
        <v/>
      </c>
    </row>
    <row r="52" spans="1:9" ht="20" customHeight="1">
      <c r="A52" s="61"/>
      <c r="B52" s="52" t="str">
        <f t="shared" si="2"/>
        <v/>
      </c>
      <c r="C52" s="62"/>
      <c r="D52" s="62"/>
      <c r="E52" s="63"/>
      <c r="F52" s="62"/>
      <c r="G52" s="62"/>
      <c r="H52" s="62"/>
      <c r="I52" s="52" t="str">
        <f t="shared" si="3"/>
        <v/>
      </c>
    </row>
    <row r="53" spans="1:9" ht="20" customHeight="1">
      <c r="A53" s="61"/>
      <c r="B53" s="52" t="str">
        <f t="shared" si="2"/>
        <v/>
      </c>
      <c r="C53" s="62"/>
      <c r="D53" s="62"/>
      <c r="E53" s="63"/>
      <c r="F53" s="62"/>
      <c r="G53" s="62"/>
      <c r="H53" s="62"/>
      <c r="I53" s="52" t="str">
        <f t="shared" si="3"/>
        <v/>
      </c>
    </row>
    <row r="54" spans="1:9" ht="20" customHeight="1">
      <c r="A54" s="61"/>
      <c r="B54" s="52" t="str">
        <f t="shared" si="2"/>
        <v/>
      </c>
      <c r="C54" s="62"/>
      <c r="D54" s="62"/>
      <c r="E54" s="63"/>
      <c r="F54" s="62"/>
      <c r="G54" s="62"/>
      <c r="H54" s="62"/>
      <c r="I54" s="52" t="str">
        <f t="shared" si="3"/>
        <v/>
      </c>
    </row>
    <row r="55" spans="1:9" ht="20" customHeight="1">
      <c r="A55" s="61"/>
      <c r="B55" s="52" t="str">
        <f t="shared" si="2"/>
        <v/>
      </c>
      <c r="C55" s="62"/>
      <c r="D55" s="62"/>
      <c r="E55" s="63"/>
      <c r="F55" s="62"/>
      <c r="G55" s="62"/>
      <c r="H55" s="62"/>
      <c r="I55" s="52" t="str">
        <f t="shared" si="3"/>
        <v/>
      </c>
    </row>
    <row r="56" spans="1:9" ht="20" customHeight="1">
      <c r="A56" s="61"/>
      <c r="B56" s="52" t="str">
        <f t="shared" si="2"/>
        <v/>
      </c>
      <c r="C56" s="62"/>
      <c r="D56" s="62"/>
      <c r="E56" s="63"/>
      <c r="F56" s="62"/>
      <c r="G56" s="62"/>
      <c r="H56" s="62"/>
      <c r="I56" s="52" t="str">
        <f t="shared" si="3"/>
        <v/>
      </c>
    </row>
    <row r="57" spans="1:9" ht="20" customHeight="1">
      <c r="A57" s="61"/>
      <c r="B57" s="52" t="str">
        <f t="shared" si="2"/>
        <v/>
      </c>
      <c r="C57" s="62"/>
      <c r="D57" s="62"/>
      <c r="E57" s="63"/>
      <c r="F57" s="62"/>
      <c r="G57" s="62"/>
      <c r="H57" s="62"/>
      <c r="I57" s="52" t="str">
        <f t="shared" si="3"/>
        <v/>
      </c>
    </row>
    <row r="58" spans="1:9" ht="20" customHeight="1">
      <c r="A58" s="61"/>
      <c r="B58" s="52" t="str">
        <f t="shared" si="2"/>
        <v/>
      </c>
      <c r="C58" s="62"/>
      <c r="D58" s="62"/>
      <c r="E58" s="63"/>
      <c r="F58" s="62"/>
      <c r="G58" s="62"/>
      <c r="H58" s="62"/>
      <c r="I58" s="52" t="str">
        <f t="shared" si="3"/>
        <v/>
      </c>
    </row>
    <row r="59" spans="1:9" ht="20" customHeight="1">
      <c r="A59" s="61"/>
      <c r="B59" s="52" t="str">
        <f t="shared" si="2"/>
        <v/>
      </c>
      <c r="C59" s="62"/>
      <c r="D59" s="62"/>
      <c r="E59" s="63"/>
      <c r="F59" s="62"/>
      <c r="G59" s="62"/>
      <c r="H59" s="62"/>
      <c r="I59" s="52" t="str">
        <f t="shared" si="3"/>
        <v/>
      </c>
    </row>
    <row r="60" spans="1:9" ht="20" customHeight="1">
      <c r="A60" s="61"/>
      <c r="B60" s="52" t="str">
        <f t="shared" si="2"/>
        <v/>
      </c>
      <c r="C60" s="62"/>
      <c r="D60" s="62"/>
      <c r="E60" s="63"/>
      <c r="F60" s="62"/>
      <c r="G60" s="62"/>
      <c r="H60" s="62"/>
      <c r="I60" s="52" t="str">
        <f t="shared" si="3"/>
        <v/>
      </c>
    </row>
    <row r="61" spans="1:9" ht="20" customHeight="1">
      <c r="A61" s="61"/>
      <c r="B61" s="52" t="str">
        <f t="shared" si="2"/>
        <v/>
      </c>
      <c r="C61" s="62"/>
      <c r="D61" s="62"/>
      <c r="E61" s="63"/>
      <c r="F61" s="62"/>
      <c r="G61" s="62"/>
      <c r="H61" s="62"/>
      <c r="I61" s="52" t="str">
        <f t="shared" si="3"/>
        <v/>
      </c>
    </row>
    <row r="62" spans="1:9" ht="20" customHeight="1">
      <c r="A62" s="61"/>
      <c r="B62" s="52" t="str">
        <f t="shared" si="2"/>
        <v/>
      </c>
      <c r="C62" s="62"/>
      <c r="D62" s="62"/>
      <c r="E62" s="63"/>
      <c r="F62" s="62"/>
      <c r="G62" s="62"/>
      <c r="H62" s="62"/>
      <c r="I62" s="52" t="str">
        <f t="shared" si="3"/>
        <v/>
      </c>
    </row>
    <row r="63" spans="1:9" ht="20" customHeight="1">
      <c r="A63" s="61"/>
      <c r="B63" s="52" t="str">
        <f t="shared" si="2"/>
        <v/>
      </c>
      <c r="C63" s="62"/>
      <c r="D63" s="62"/>
      <c r="E63" s="63"/>
      <c r="F63" s="62"/>
      <c r="G63" s="62"/>
      <c r="H63" s="62"/>
      <c r="I63" s="52" t="str">
        <f t="shared" si="3"/>
        <v/>
      </c>
    </row>
    <row r="64" spans="1:9" ht="20" customHeight="1">
      <c r="A64" s="61"/>
      <c r="B64" s="52" t="str">
        <f t="shared" si="2"/>
        <v/>
      </c>
      <c r="C64" s="62"/>
      <c r="D64" s="62"/>
      <c r="E64" s="63"/>
      <c r="F64" s="62"/>
      <c r="G64" s="62"/>
      <c r="H64" s="62"/>
      <c r="I64" s="52" t="str">
        <f t="shared" si="3"/>
        <v/>
      </c>
    </row>
    <row r="65" spans="1:9" ht="20" customHeight="1">
      <c r="A65" s="61"/>
      <c r="B65" s="52" t="str">
        <f t="shared" si="2"/>
        <v/>
      </c>
      <c r="C65" s="62"/>
      <c r="D65" s="62"/>
      <c r="E65" s="63"/>
      <c r="F65" s="62"/>
      <c r="G65" s="62"/>
      <c r="H65" s="62"/>
      <c r="I65" s="52" t="str">
        <f t="shared" si="3"/>
        <v/>
      </c>
    </row>
    <row r="66" spans="1:9" ht="20" customHeight="1">
      <c r="A66" s="61"/>
      <c r="B66" s="52" t="str">
        <f t="shared" si="2"/>
        <v/>
      </c>
      <c r="C66" s="62"/>
      <c r="D66" s="62"/>
      <c r="E66" s="63"/>
      <c r="F66" s="62"/>
      <c r="G66" s="62"/>
      <c r="H66" s="62"/>
      <c r="I66" s="52" t="str">
        <f t="shared" si="3"/>
        <v/>
      </c>
    </row>
    <row r="67" spans="1:9" ht="20" customHeight="1">
      <c r="A67" s="61"/>
      <c r="B67" s="52" t="str">
        <f t="shared" si="2"/>
        <v/>
      </c>
      <c r="C67" s="62"/>
      <c r="D67" s="62"/>
      <c r="E67" s="63"/>
      <c r="F67" s="62"/>
      <c r="G67" s="62"/>
      <c r="H67" s="62"/>
      <c r="I67" s="52" t="str">
        <f t="shared" si="3"/>
        <v/>
      </c>
    </row>
    <row r="68" spans="1:9" ht="20" customHeight="1">
      <c r="A68" s="61"/>
      <c r="B68" s="52" t="str">
        <f t="shared" si="2"/>
        <v/>
      </c>
      <c r="C68" s="62"/>
      <c r="D68" s="62"/>
      <c r="E68" s="63"/>
      <c r="F68" s="62"/>
      <c r="G68" s="62"/>
      <c r="H68" s="62"/>
      <c r="I68" s="52" t="str">
        <f t="shared" si="3"/>
        <v/>
      </c>
    </row>
    <row r="69" spans="1:9" ht="20" customHeight="1">
      <c r="A69" s="61"/>
      <c r="B69" s="52" t="str">
        <f t="shared" si="2"/>
        <v/>
      </c>
      <c r="C69" s="62"/>
      <c r="D69" s="62"/>
      <c r="E69" s="63"/>
      <c r="F69" s="62"/>
      <c r="G69" s="62"/>
      <c r="H69" s="62"/>
      <c r="I69" s="52" t="str">
        <f t="shared" si="3"/>
        <v/>
      </c>
    </row>
    <row r="70" spans="1:9" ht="20" customHeight="1">
      <c r="A70" s="61"/>
      <c r="B70" s="52" t="str">
        <f t="shared" si="2"/>
        <v/>
      </c>
      <c r="C70" s="62"/>
      <c r="D70" s="62"/>
      <c r="E70" s="63"/>
      <c r="F70" s="62"/>
      <c r="G70" s="62"/>
      <c r="H70" s="62"/>
      <c r="I70" s="52" t="str">
        <f t="shared" si="3"/>
        <v/>
      </c>
    </row>
    <row r="71" spans="1:9" ht="20" customHeight="1">
      <c r="A71" s="61"/>
      <c r="B71" s="52" t="str">
        <f t="shared" ref="B71:B102" si="4">IF(A71="","",MONTH(A71))</f>
        <v/>
      </c>
      <c r="C71" s="62"/>
      <c r="D71" s="62"/>
      <c r="E71" s="63"/>
      <c r="F71" s="62"/>
      <c r="G71" s="62"/>
      <c r="H71" s="62"/>
      <c r="I71" s="52" t="str">
        <f t="shared" ref="I71:I102" si="5">IF(A71="","",YEAR(A71))</f>
        <v/>
      </c>
    </row>
    <row r="72" spans="1:9" ht="20" customHeight="1">
      <c r="A72" s="61"/>
      <c r="B72" s="52" t="str">
        <f t="shared" si="4"/>
        <v/>
      </c>
      <c r="C72" s="62"/>
      <c r="D72" s="62"/>
      <c r="E72" s="63"/>
      <c r="F72" s="62"/>
      <c r="G72" s="62"/>
      <c r="H72" s="62"/>
      <c r="I72" s="52" t="str">
        <f t="shared" si="5"/>
        <v/>
      </c>
    </row>
    <row r="73" spans="1:9" ht="20" customHeight="1">
      <c r="A73" s="61"/>
      <c r="B73" s="52" t="str">
        <f t="shared" si="4"/>
        <v/>
      </c>
      <c r="C73" s="62"/>
      <c r="D73" s="62"/>
      <c r="E73" s="63"/>
      <c r="F73" s="62"/>
      <c r="G73" s="62"/>
      <c r="H73" s="62"/>
      <c r="I73" s="52" t="str">
        <f t="shared" si="5"/>
        <v/>
      </c>
    </row>
    <row r="74" spans="1:9" ht="20" customHeight="1">
      <c r="A74" s="61"/>
      <c r="B74" s="52" t="str">
        <f t="shared" si="4"/>
        <v/>
      </c>
      <c r="C74" s="62"/>
      <c r="D74" s="62"/>
      <c r="E74" s="63"/>
      <c r="F74" s="62"/>
      <c r="G74" s="62"/>
      <c r="H74" s="62"/>
      <c r="I74" s="52" t="str">
        <f t="shared" si="5"/>
        <v/>
      </c>
    </row>
    <row r="75" spans="1:9" ht="20" customHeight="1">
      <c r="A75" s="61"/>
      <c r="B75" s="52" t="str">
        <f t="shared" si="4"/>
        <v/>
      </c>
      <c r="C75" s="62"/>
      <c r="D75" s="62"/>
      <c r="E75" s="63"/>
      <c r="F75" s="62"/>
      <c r="G75" s="62"/>
      <c r="H75" s="62"/>
      <c r="I75" s="52" t="str">
        <f t="shared" si="5"/>
        <v/>
      </c>
    </row>
    <row r="76" spans="1:9" ht="20" customHeight="1">
      <c r="A76" s="61"/>
      <c r="B76" s="52" t="str">
        <f t="shared" si="4"/>
        <v/>
      </c>
      <c r="C76" s="62"/>
      <c r="D76" s="62"/>
      <c r="E76" s="63"/>
      <c r="F76" s="62"/>
      <c r="G76" s="62"/>
      <c r="H76" s="62"/>
      <c r="I76" s="52" t="str">
        <f t="shared" si="5"/>
        <v/>
      </c>
    </row>
    <row r="77" spans="1:9" ht="20" customHeight="1">
      <c r="A77" s="61"/>
      <c r="B77" s="52" t="str">
        <f t="shared" si="4"/>
        <v/>
      </c>
      <c r="C77" s="62"/>
      <c r="D77" s="62"/>
      <c r="E77" s="63"/>
      <c r="F77" s="62"/>
      <c r="G77" s="62"/>
      <c r="H77" s="62"/>
      <c r="I77" s="52" t="str">
        <f t="shared" si="5"/>
        <v/>
      </c>
    </row>
    <row r="78" spans="1:9" ht="20" customHeight="1">
      <c r="A78" s="61"/>
      <c r="B78" s="52" t="str">
        <f t="shared" si="4"/>
        <v/>
      </c>
      <c r="C78" s="62"/>
      <c r="D78" s="62"/>
      <c r="E78" s="63"/>
      <c r="F78" s="62"/>
      <c r="G78" s="62"/>
      <c r="H78" s="62"/>
      <c r="I78" s="52" t="str">
        <f t="shared" si="5"/>
        <v/>
      </c>
    </row>
    <row r="79" spans="1:9" ht="20" customHeight="1">
      <c r="A79" s="61"/>
      <c r="B79" s="52" t="str">
        <f t="shared" si="4"/>
        <v/>
      </c>
      <c r="C79" s="62"/>
      <c r="D79" s="62"/>
      <c r="E79" s="63"/>
      <c r="F79" s="62"/>
      <c r="G79" s="62"/>
      <c r="H79" s="62"/>
      <c r="I79" s="52" t="str">
        <f t="shared" si="5"/>
        <v/>
      </c>
    </row>
    <row r="80" spans="1:9" ht="20" customHeight="1">
      <c r="A80" s="61"/>
      <c r="B80" s="52" t="str">
        <f t="shared" si="4"/>
        <v/>
      </c>
      <c r="C80" s="62"/>
      <c r="D80" s="62"/>
      <c r="E80" s="63"/>
      <c r="F80" s="62"/>
      <c r="G80" s="62"/>
      <c r="H80" s="62"/>
      <c r="I80" s="52" t="str">
        <f t="shared" si="5"/>
        <v/>
      </c>
    </row>
    <row r="81" spans="1:9" ht="20" customHeight="1">
      <c r="A81" s="61"/>
      <c r="B81" s="52" t="str">
        <f t="shared" si="4"/>
        <v/>
      </c>
      <c r="C81" s="62"/>
      <c r="D81" s="62"/>
      <c r="E81" s="63"/>
      <c r="F81" s="62"/>
      <c r="G81" s="62"/>
      <c r="H81" s="62"/>
      <c r="I81" s="52" t="str">
        <f t="shared" si="5"/>
        <v/>
      </c>
    </row>
    <row r="82" spans="1:9" ht="20" customHeight="1">
      <c r="A82" s="61"/>
      <c r="B82" s="52" t="str">
        <f t="shared" si="4"/>
        <v/>
      </c>
      <c r="C82" s="62"/>
      <c r="D82" s="62"/>
      <c r="E82" s="63"/>
      <c r="F82" s="62"/>
      <c r="G82" s="62"/>
      <c r="H82" s="62"/>
      <c r="I82" s="52" t="str">
        <f t="shared" si="5"/>
        <v/>
      </c>
    </row>
    <row r="83" spans="1:9" ht="20" customHeight="1">
      <c r="A83" s="61"/>
      <c r="B83" s="52" t="str">
        <f t="shared" si="4"/>
        <v/>
      </c>
      <c r="C83" s="62"/>
      <c r="D83" s="62"/>
      <c r="E83" s="63"/>
      <c r="F83" s="62"/>
      <c r="G83" s="62"/>
      <c r="H83" s="62"/>
      <c r="I83" s="52" t="str">
        <f t="shared" si="5"/>
        <v/>
      </c>
    </row>
    <row r="84" spans="1:9" ht="20" customHeight="1">
      <c r="A84" s="61"/>
      <c r="B84" s="52" t="str">
        <f t="shared" si="4"/>
        <v/>
      </c>
      <c r="C84" s="62"/>
      <c r="D84" s="62"/>
      <c r="E84" s="63"/>
      <c r="F84" s="62"/>
      <c r="G84" s="62"/>
      <c r="H84" s="62"/>
      <c r="I84" s="52" t="str">
        <f t="shared" si="5"/>
        <v/>
      </c>
    </row>
    <row r="85" spans="1:9" ht="20" customHeight="1">
      <c r="A85" s="61"/>
      <c r="B85" s="52" t="str">
        <f t="shared" si="4"/>
        <v/>
      </c>
      <c r="C85" s="62"/>
      <c r="D85" s="62"/>
      <c r="E85" s="63"/>
      <c r="F85" s="62"/>
      <c r="G85" s="62"/>
      <c r="H85" s="62"/>
      <c r="I85" s="52" t="str">
        <f t="shared" si="5"/>
        <v/>
      </c>
    </row>
    <row r="86" spans="1:9" ht="20" customHeight="1">
      <c r="A86" s="61"/>
      <c r="B86" s="52" t="str">
        <f t="shared" si="4"/>
        <v/>
      </c>
      <c r="C86" s="62"/>
      <c r="D86" s="62"/>
      <c r="E86" s="63"/>
      <c r="F86" s="62"/>
      <c r="G86" s="62"/>
      <c r="H86" s="62"/>
      <c r="I86" s="52" t="str">
        <f t="shared" si="5"/>
        <v/>
      </c>
    </row>
    <row r="87" spans="1:9" ht="20" customHeight="1">
      <c r="A87" s="61"/>
      <c r="B87" s="52" t="str">
        <f t="shared" si="4"/>
        <v/>
      </c>
      <c r="C87" s="62"/>
      <c r="D87" s="62"/>
      <c r="E87" s="63"/>
      <c r="F87" s="62"/>
      <c r="G87" s="62"/>
      <c r="H87" s="62"/>
      <c r="I87" s="52" t="str">
        <f t="shared" si="5"/>
        <v/>
      </c>
    </row>
    <row r="88" spans="1:9" ht="20" customHeight="1">
      <c r="A88" s="61"/>
      <c r="B88" s="52" t="str">
        <f t="shared" si="4"/>
        <v/>
      </c>
      <c r="C88" s="62"/>
      <c r="D88" s="62"/>
      <c r="E88" s="63"/>
      <c r="F88" s="62"/>
      <c r="G88" s="62"/>
      <c r="H88" s="62"/>
      <c r="I88" s="52" t="str">
        <f t="shared" si="5"/>
        <v/>
      </c>
    </row>
    <row r="89" spans="1:9" ht="20" customHeight="1">
      <c r="A89" s="61"/>
      <c r="B89" s="52" t="str">
        <f t="shared" si="4"/>
        <v/>
      </c>
      <c r="C89" s="62"/>
      <c r="D89" s="62"/>
      <c r="E89" s="63"/>
      <c r="F89" s="62"/>
      <c r="G89" s="62"/>
      <c r="H89" s="62"/>
      <c r="I89" s="52" t="str">
        <f t="shared" si="5"/>
        <v/>
      </c>
    </row>
    <row r="90" spans="1:9" ht="20" customHeight="1">
      <c r="A90" s="61"/>
      <c r="B90" s="52" t="str">
        <f t="shared" si="4"/>
        <v/>
      </c>
      <c r="C90" s="62"/>
      <c r="D90" s="62"/>
      <c r="E90" s="63"/>
      <c r="F90" s="62"/>
      <c r="G90" s="62"/>
      <c r="H90" s="62"/>
      <c r="I90" s="52" t="str">
        <f t="shared" si="5"/>
        <v/>
      </c>
    </row>
    <row r="91" spans="1:9" ht="20" customHeight="1">
      <c r="A91" s="61"/>
      <c r="B91" s="52" t="str">
        <f t="shared" si="4"/>
        <v/>
      </c>
      <c r="C91" s="62"/>
      <c r="D91" s="62"/>
      <c r="E91" s="63"/>
      <c r="F91" s="62"/>
      <c r="G91" s="62"/>
      <c r="H91" s="62"/>
      <c r="I91" s="52" t="str">
        <f t="shared" si="5"/>
        <v/>
      </c>
    </row>
    <row r="92" spans="1:9" ht="20" customHeight="1">
      <c r="A92" s="61"/>
      <c r="B92" s="52" t="str">
        <f t="shared" si="4"/>
        <v/>
      </c>
      <c r="C92" s="62"/>
      <c r="D92" s="62"/>
      <c r="E92" s="63"/>
      <c r="F92" s="62"/>
      <c r="G92" s="62"/>
      <c r="H92" s="62"/>
      <c r="I92" s="52" t="str">
        <f t="shared" si="5"/>
        <v/>
      </c>
    </row>
    <row r="93" spans="1:9" ht="20" customHeight="1">
      <c r="A93" s="61"/>
      <c r="B93" s="52" t="str">
        <f t="shared" si="4"/>
        <v/>
      </c>
      <c r="C93" s="62"/>
      <c r="D93" s="62"/>
      <c r="E93" s="63"/>
      <c r="F93" s="62"/>
      <c r="G93" s="62"/>
      <c r="H93" s="62"/>
      <c r="I93" s="52" t="str">
        <f t="shared" si="5"/>
        <v/>
      </c>
    </row>
    <row r="94" spans="1:9" ht="20" customHeight="1">
      <c r="A94" s="61"/>
      <c r="B94" s="52" t="str">
        <f t="shared" si="4"/>
        <v/>
      </c>
      <c r="C94" s="62"/>
      <c r="D94" s="62"/>
      <c r="E94" s="63"/>
      <c r="F94" s="62"/>
      <c r="G94" s="62"/>
      <c r="H94" s="62"/>
      <c r="I94" s="52" t="str">
        <f t="shared" si="5"/>
        <v/>
      </c>
    </row>
    <row r="95" spans="1:9" ht="20" customHeight="1">
      <c r="A95" s="61"/>
      <c r="B95" s="52" t="str">
        <f t="shared" si="4"/>
        <v/>
      </c>
      <c r="C95" s="62"/>
      <c r="D95" s="62"/>
      <c r="E95" s="63"/>
      <c r="F95" s="62"/>
      <c r="G95" s="62"/>
      <c r="H95" s="62"/>
      <c r="I95" s="52" t="str">
        <f t="shared" si="5"/>
        <v/>
      </c>
    </row>
    <row r="96" spans="1:9" ht="20" customHeight="1">
      <c r="A96" s="61"/>
      <c r="B96" s="52" t="str">
        <f t="shared" si="4"/>
        <v/>
      </c>
      <c r="C96" s="62"/>
      <c r="D96" s="62"/>
      <c r="E96" s="63"/>
      <c r="F96" s="62"/>
      <c r="G96" s="62"/>
      <c r="H96" s="62"/>
      <c r="I96" s="52" t="str">
        <f t="shared" si="5"/>
        <v/>
      </c>
    </row>
    <row r="97" spans="1:9" ht="20" customHeight="1">
      <c r="A97" s="61"/>
      <c r="B97" s="52" t="str">
        <f t="shared" si="4"/>
        <v/>
      </c>
      <c r="C97" s="62"/>
      <c r="D97" s="62"/>
      <c r="E97" s="63"/>
      <c r="F97" s="62"/>
      <c r="G97" s="62"/>
      <c r="H97" s="62"/>
      <c r="I97" s="52" t="str">
        <f t="shared" si="5"/>
        <v/>
      </c>
    </row>
    <row r="98" spans="1:9" ht="20" customHeight="1">
      <c r="A98" s="61"/>
      <c r="B98" s="52" t="str">
        <f t="shared" si="4"/>
        <v/>
      </c>
      <c r="C98" s="62"/>
      <c r="D98" s="62"/>
      <c r="E98" s="63"/>
      <c r="F98" s="62"/>
      <c r="G98" s="62"/>
      <c r="H98" s="62"/>
      <c r="I98" s="52" t="str">
        <f t="shared" si="5"/>
        <v/>
      </c>
    </row>
    <row r="99" spans="1:9" ht="20" customHeight="1">
      <c r="A99" s="61"/>
      <c r="B99" s="52" t="str">
        <f t="shared" si="4"/>
        <v/>
      </c>
      <c r="C99" s="62"/>
      <c r="D99" s="62"/>
      <c r="E99" s="63"/>
      <c r="F99" s="62"/>
      <c r="G99" s="62"/>
      <c r="H99" s="62"/>
      <c r="I99" s="52" t="str">
        <f t="shared" si="5"/>
        <v/>
      </c>
    </row>
    <row r="100" spans="1:9" ht="20" customHeight="1">
      <c r="A100" s="61"/>
      <c r="B100" s="52" t="str">
        <f t="shared" si="4"/>
        <v/>
      </c>
      <c r="C100" s="62"/>
      <c r="D100" s="62"/>
      <c r="E100" s="63"/>
      <c r="F100" s="62"/>
      <c r="G100" s="62"/>
      <c r="H100" s="62"/>
      <c r="I100" s="52" t="str">
        <f t="shared" si="5"/>
        <v/>
      </c>
    </row>
    <row r="101" spans="1:9" ht="20" customHeight="1">
      <c r="A101" s="61"/>
      <c r="B101" s="52" t="str">
        <f t="shared" si="4"/>
        <v/>
      </c>
      <c r="C101" s="62"/>
      <c r="D101" s="62"/>
      <c r="E101" s="63"/>
      <c r="F101" s="62"/>
      <c r="G101" s="62"/>
      <c r="H101" s="62"/>
      <c r="I101" s="52" t="str">
        <f t="shared" si="5"/>
        <v/>
      </c>
    </row>
    <row r="102" spans="1:9" ht="20" customHeight="1">
      <c r="A102" s="61"/>
      <c r="B102" s="52" t="str">
        <f t="shared" si="4"/>
        <v/>
      </c>
      <c r="C102" s="62"/>
      <c r="D102" s="62"/>
      <c r="E102" s="63"/>
      <c r="F102" s="62"/>
      <c r="G102" s="62"/>
      <c r="H102" s="62"/>
      <c r="I102" s="52" t="str">
        <f t="shared" si="5"/>
        <v/>
      </c>
    </row>
    <row r="103" spans="1:9" ht="20" customHeight="1">
      <c r="A103" s="61"/>
      <c r="B103" s="52" t="str">
        <f t="shared" ref="B103:B134" si="6">IF(A103="","",MONTH(A103))</f>
        <v/>
      </c>
      <c r="C103" s="62"/>
      <c r="D103" s="62"/>
      <c r="E103" s="63"/>
      <c r="F103" s="62"/>
      <c r="G103" s="62"/>
      <c r="H103" s="62"/>
      <c r="I103" s="52" t="str">
        <f t="shared" ref="I103:I134" si="7">IF(A103="","",YEAR(A103))</f>
        <v/>
      </c>
    </row>
    <row r="104" spans="1:9" ht="20" customHeight="1">
      <c r="A104" s="61"/>
      <c r="B104" s="52" t="str">
        <f t="shared" si="6"/>
        <v/>
      </c>
      <c r="C104" s="62"/>
      <c r="D104" s="62"/>
      <c r="E104" s="63"/>
      <c r="F104" s="62"/>
      <c r="G104" s="62"/>
      <c r="H104" s="62"/>
      <c r="I104" s="52" t="str">
        <f t="shared" si="7"/>
        <v/>
      </c>
    </row>
    <row r="105" spans="1:9" ht="20" customHeight="1">
      <c r="A105" s="61"/>
      <c r="B105" s="52" t="str">
        <f t="shared" si="6"/>
        <v/>
      </c>
      <c r="C105" s="62"/>
      <c r="D105" s="62"/>
      <c r="E105" s="63"/>
      <c r="F105" s="62"/>
      <c r="G105" s="62"/>
      <c r="H105" s="62"/>
      <c r="I105" s="52" t="str">
        <f t="shared" si="7"/>
        <v/>
      </c>
    </row>
    <row r="106" spans="1:9" ht="20" customHeight="1">
      <c r="A106" s="61"/>
      <c r="B106" s="52" t="str">
        <f t="shared" si="6"/>
        <v/>
      </c>
      <c r="C106" s="62"/>
      <c r="D106" s="62"/>
      <c r="E106" s="63"/>
      <c r="F106" s="62"/>
      <c r="G106" s="62"/>
      <c r="H106" s="62"/>
      <c r="I106" s="52" t="str">
        <f t="shared" si="7"/>
        <v/>
      </c>
    </row>
    <row r="107" spans="1:9" ht="20" customHeight="1">
      <c r="A107" s="61"/>
      <c r="B107" s="52" t="str">
        <f t="shared" si="6"/>
        <v/>
      </c>
      <c r="C107" s="62"/>
      <c r="D107" s="62"/>
      <c r="E107" s="63"/>
      <c r="F107" s="62"/>
      <c r="G107" s="62"/>
      <c r="H107" s="62"/>
      <c r="I107" s="52" t="str">
        <f t="shared" si="7"/>
        <v/>
      </c>
    </row>
    <row r="108" spans="1:9" ht="20" customHeight="1">
      <c r="A108" s="61"/>
      <c r="B108" s="52" t="str">
        <f t="shared" si="6"/>
        <v/>
      </c>
      <c r="C108" s="62"/>
      <c r="D108" s="62"/>
      <c r="E108" s="63"/>
      <c r="F108" s="62"/>
      <c r="G108" s="62"/>
      <c r="H108" s="62"/>
      <c r="I108" s="52" t="str">
        <f t="shared" si="7"/>
        <v/>
      </c>
    </row>
    <row r="109" spans="1:9" ht="20" customHeight="1">
      <c r="A109" s="61"/>
      <c r="B109" s="52" t="str">
        <f t="shared" si="6"/>
        <v/>
      </c>
      <c r="C109" s="62"/>
      <c r="D109" s="62"/>
      <c r="E109" s="63"/>
      <c r="F109" s="62"/>
      <c r="G109" s="62"/>
      <c r="H109" s="62"/>
      <c r="I109" s="52" t="str">
        <f t="shared" si="7"/>
        <v/>
      </c>
    </row>
    <row r="110" spans="1:9" ht="20" customHeight="1">
      <c r="A110" s="61"/>
      <c r="B110" s="52" t="str">
        <f t="shared" si="6"/>
        <v/>
      </c>
      <c r="C110" s="62"/>
      <c r="D110" s="62"/>
      <c r="E110" s="63"/>
      <c r="F110" s="62"/>
      <c r="G110" s="62"/>
      <c r="H110" s="62"/>
      <c r="I110" s="52" t="str">
        <f t="shared" si="7"/>
        <v/>
      </c>
    </row>
    <row r="111" spans="1:9" ht="20" customHeight="1">
      <c r="A111" s="61"/>
      <c r="B111" s="52" t="str">
        <f t="shared" si="6"/>
        <v/>
      </c>
      <c r="C111" s="62"/>
      <c r="D111" s="62"/>
      <c r="E111" s="63"/>
      <c r="F111" s="62"/>
      <c r="G111" s="62"/>
      <c r="H111" s="62"/>
      <c r="I111" s="52" t="str">
        <f t="shared" si="7"/>
        <v/>
      </c>
    </row>
    <row r="112" spans="1:9" ht="20" customHeight="1">
      <c r="A112" s="61"/>
      <c r="B112" s="52" t="str">
        <f t="shared" si="6"/>
        <v/>
      </c>
      <c r="C112" s="62"/>
      <c r="D112" s="62"/>
      <c r="E112" s="63"/>
      <c r="F112" s="62"/>
      <c r="G112" s="62"/>
      <c r="H112" s="62"/>
      <c r="I112" s="52" t="str">
        <f t="shared" si="7"/>
        <v/>
      </c>
    </row>
    <row r="113" spans="1:9" ht="20" customHeight="1">
      <c r="A113" s="61"/>
      <c r="B113" s="52" t="str">
        <f t="shared" si="6"/>
        <v/>
      </c>
      <c r="C113" s="62"/>
      <c r="D113" s="62"/>
      <c r="E113" s="63"/>
      <c r="F113" s="62"/>
      <c r="G113" s="62"/>
      <c r="H113" s="62"/>
      <c r="I113" s="52" t="str">
        <f t="shared" si="7"/>
        <v/>
      </c>
    </row>
    <row r="114" spans="1:9" ht="20" customHeight="1">
      <c r="A114" s="61"/>
      <c r="B114" s="52" t="str">
        <f t="shared" si="6"/>
        <v/>
      </c>
      <c r="C114" s="62"/>
      <c r="D114" s="62"/>
      <c r="E114" s="63"/>
      <c r="F114" s="62"/>
      <c r="G114" s="62"/>
      <c r="H114" s="62"/>
      <c r="I114" s="52" t="str">
        <f t="shared" si="7"/>
        <v/>
      </c>
    </row>
    <row r="115" spans="1:9" ht="20" customHeight="1">
      <c r="A115" s="61"/>
      <c r="B115" s="52" t="str">
        <f t="shared" si="6"/>
        <v/>
      </c>
      <c r="C115" s="62"/>
      <c r="D115" s="62"/>
      <c r="E115" s="63"/>
      <c r="F115" s="62"/>
      <c r="G115" s="62"/>
      <c r="H115" s="62"/>
      <c r="I115" s="52" t="str">
        <f t="shared" si="7"/>
        <v/>
      </c>
    </row>
    <row r="116" spans="1:9" ht="20" customHeight="1">
      <c r="A116" s="61"/>
      <c r="B116" s="52" t="str">
        <f t="shared" si="6"/>
        <v/>
      </c>
      <c r="C116" s="62"/>
      <c r="D116" s="62"/>
      <c r="E116" s="63"/>
      <c r="F116" s="62"/>
      <c r="G116" s="62"/>
      <c r="H116" s="62"/>
      <c r="I116" s="52" t="str">
        <f t="shared" si="7"/>
        <v/>
      </c>
    </row>
    <row r="117" spans="1:9" ht="20" customHeight="1">
      <c r="A117" s="61"/>
      <c r="B117" s="52" t="str">
        <f t="shared" si="6"/>
        <v/>
      </c>
      <c r="C117" s="62"/>
      <c r="D117" s="62"/>
      <c r="E117" s="63"/>
      <c r="F117" s="62"/>
      <c r="G117" s="62"/>
      <c r="H117" s="62"/>
      <c r="I117" s="52" t="str">
        <f t="shared" si="7"/>
        <v/>
      </c>
    </row>
    <row r="118" spans="1:9" ht="20" customHeight="1">
      <c r="A118" s="61"/>
      <c r="B118" s="52" t="str">
        <f t="shared" si="6"/>
        <v/>
      </c>
      <c r="C118" s="62"/>
      <c r="D118" s="62"/>
      <c r="E118" s="63"/>
      <c r="F118" s="62"/>
      <c r="G118" s="62"/>
      <c r="H118" s="62"/>
      <c r="I118" s="52" t="str">
        <f t="shared" si="7"/>
        <v/>
      </c>
    </row>
    <row r="119" spans="1:9" ht="20" customHeight="1">
      <c r="A119" s="61"/>
      <c r="B119" s="52" t="str">
        <f t="shared" si="6"/>
        <v/>
      </c>
      <c r="C119" s="62"/>
      <c r="D119" s="62"/>
      <c r="E119" s="63"/>
      <c r="F119" s="62"/>
      <c r="G119" s="62"/>
      <c r="H119" s="62"/>
      <c r="I119" s="52" t="str">
        <f t="shared" si="7"/>
        <v/>
      </c>
    </row>
    <row r="120" spans="1:9" ht="20" customHeight="1">
      <c r="A120" s="61"/>
      <c r="B120" s="52" t="str">
        <f t="shared" si="6"/>
        <v/>
      </c>
      <c r="C120" s="62"/>
      <c r="D120" s="62"/>
      <c r="E120" s="63"/>
      <c r="F120" s="62"/>
      <c r="G120" s="62"/>
      <c r="H120" s="62"/>
      <c r="I120" s="52" t="str">
        <f t="shared" si="7"/>
        <v/>
      </c>
    </row>
    <row r="121" spans="1:9" ht="20" customHeight="1">
      <c r="A121" s="61"/>
      <c r="B121" s="52" t="str">
        <f t="shared" si="6"/>
        <v/>
      </c>
      <c r="C121" s="62"/>
      <c r="D121" s="62"/>
      <c r="E121" s="63"/>
      <c r="F121" s="62"/>
      <c r="G121" s="62"/>
      <c r="H121" s="62"/>
      <c r="I121" s="52" t="str">
        <f t="shared" si="7"/>
        <v/>
      </c>
    </row>
    <row r="122" spans="1:9" ht="20" customHeight="1">
      <c r="A122" s="61"/>
      <c r="B122" s="52" t="str">
        <f t="shared" si="6"/>
        <v/>
      </c>
      <c r="C122" s="62"/>
      <c r="D122" s="62"/>
      <c r="E122" s="63"/>
      <c r="F122" s="62"/>
      <c r="G122" s="62"/>
      <c r="H122" s="62"/>
      <c r="I122" s="52" t="str">
        <f t="shared" si="7"/>
        <v/>
      </c>
    </row>
    <row r="123" spans="1:9" ht="20" customHeight="1">
      <c r="A123" s="61"/>
      <c r="B123" s="52" t="str">
        <f t="shared" si="6"/>
        <v/>
      </c>
      <c r="C123" s="62"/>
      <c r="D123" s="62"/>
      <c r="E123" s="63"/>
      <c r="F123" s="62"/>
      <c r="G123" s="62"/>
      <c r="H123" s="62"/>
      <c r="I123" s="52" t="str">
        <f t="shared" si="7"/>
        <v/>
      </c>
    </row>
    <row r="124" spans="1:9" ht="20" customHeight="1">
      <c r="A124" s="61"/>
      <c r="B124" s="52" t="str">
        <f t="shared" si="6"/>
        <v/>
      </c>
      <c r="C124" s="62"/>
      <c r="D124" s="62"/>
      <c r="E124" s="63"/>
      <c r="F124" s="62"/>
      <c r="G124" s="62"/>
      <c r="H124" s="62"/>
      <c r="I124" s="52" t="str">
        <f t="shared" si="7"/>
        <v/>
      </c>
    </row>
    <row r="125" spans="1:9" ht="20" customHeight="1">
      <c r="A125" s="61"/>
      <c r="B125" s="52" t="str">
        <f t="shared" si="6"/>
        <v/>
      </c>
      <c r="C125" s="62"/>
      <c r="D125" s="62"/>
      <c r="E125" s="63"/>
      <c r="F125" s="62"/>
      <c r="G125" s="62"/>
      <c r="H125" s="62"/>
      <c r="I125" s="52" t="str">
        <f t="shared" si="7"/>
        <v/>
      </c>
    </row>
    <row r="126" spans="1:9" ht="20" customHeight="1">
      <c r="A126" s="61"/>
      <c r="B126" s="52" t="str">
        <f t="shared" si="6"/>
        <v/>
      </c>
      <c r="C126" s="62"/>
      <c r="D126" s="62"/>
      <c r="E126" s="63"/>
      <c r="F126" s="62"/>
      <c r="G126" s="62"/>
      <c r="H126" s="62"/>
      <c r="I126" s="52" t="str">
        <f t="shared" si="7"/>
        <v/>
      </c>
    </row>
    <row r="127" spans="1:9" ht="20" customHeight="1">
      <c r="A127" s="61"/>
      <c r="B127" s="52" t="str">
        <f t="shared" si="6"/>
        <v/>
      </c>
      <c r="C127" s="62"/>
      <c r="D127" s="62"/>
      <c r="E127" s="63"/>
      <c r="F127" s="62"/>
      <c r="G127" s="62"/>
      <c r="H127" s="62"/>
      <c r="I127" s="52" t="str">
        <f t="shared" si="7"/>
        <v/>
      </c>
    </row>
    <row r="128" spans="1:9" ht="20" customHeight="1">
      <c r="A128" s="61"/>
      <c r="B128" s="52" t="str">
        <f t="shared" si="6"/>
        <v/>
      </c>
      <c r="C128" s="62"/>
      <c r="D128" s="62"/>
      <c r="E128" s="63"/>
      <c r="F128" s="62"/>
      <c r="G128" s="62"/>
      <c r="H128" s="62"/>
      <c r="I128" s="52" t="str">
        <f t="shared" si="7"/>
        <v/>
      </c>
    </row>
    <row r="129" spans="1:9" ht="20" customHeight="1">
      <c r="A129" s="61"/>
      <c r="B129" s="52" t="str">
        <f t="shared" si="6"/>
        <v/>
      </c>
      <c r="C129" s="62"/>
      <c r="D129" s="62"/>
      <c r="E129" s="63"/>
      <c r="F129" s="62"/>
      <c r="G129" s="62"/>
      <c r="H129" s="62"/>
      <c r="I129" s="52" t="str">
        <f t="shared" si="7"/>
        <v/>
      </c>
    </row>
    <row r="130" spans="1:9" ht="20" customHeight="1">
      <c r="A130" s="61"/>
      <c r="B130" s="52" t="str">
        <f t="shared" si="6"/>
        <v/>
      </c>
      <c r="C130" s="62"/>
      <c r="D130" s="62"/>
      <c r="E130" s="63"/>
      <c r="F130" s="62"/>
      <c r="G130" s="62"/>
      <c r="H130" s="62"/>
      <c r="I130" s="52" t="str">
        <f t="shared" si="7"/>
        <v/>
      </c>
    </row>
    <row r="131" spans="1:9" ht="20" customHeight="1">
      <c r="A131" s="61"/>
      <c r="B131" s="52" t="str">
        <f t="shared" si="6"/>
        <v/>
      </c>
      <c r="C131" s="62"/>
      <c r="D131" s="62"/>
      <c r="E131" s="63"/>
      <c r="F131" s="62"/>
      <c r="G131" s="62"/>
      <c r="H131" s="62"/>
      <c r="I131" s="52" t="str">
        <f t="shared" si="7"/>
        <v/>
      </c>
    </row>
    <row r="132" spans="1:9" ht="20" customHeight="1">
      <c r="A132" s="61"/>
      <c r="B132" s="52" t="str">
        <f t="shared" si="6"/>
        <v/>
      </c>
      <c r="C132" s="62"/>
      <c r="D132" s="62"/>
      <c r="E132" s="63"/>
      <c r="F132" s="62"/>
      <c r="G132" s="62"/>
      <c r="H132" s="62"/>
      <c r="I132" s="52" t="str">
        <f t="shared" si="7"/>
        <v/>
      </c>
    </row>
    <row r="133" spans="1:9" ht="20" customHeight="1">
      <c r="A133" s="61"/>
      <c r="B133" s="52" t="str">
        <f t="shared" si="6"/>
        <v/>
      </c>
      <c r="C133" s="62"/>
      <c r="D133" s="62"/>
      <c r="E133" s="63"/>
      <c r="F133" s="62"/>
      <c r="G133" s="62"/>
      <c r="H133" s="62"/>
      <c r="I133" s="52" t="str">
        <f t="shared" si="7"/>
        <v/>
      </c>
    </row>
    <row r="134" spans="1:9" ht="20" customHeight="1">
      <c r="A134" s="61"/>
      <c r="B134" s="52" t="str">
        <f t="shared" si="6"/>
        <v/>
      </c>
      <c r="C134" s="62"/>
      <c r="D134" s="62"/>
      <c r="E134" s="63"/>
      <c r="F134" s="62"/>
      <c r="G134" s="62"/>
      <c r="H134" s="62"/>
      <c r="I134" s="52" t="str">
        <f t="shared" si="7"/>
        <v/>
      </c>
    </row>
    <row r="135" spans="1:9" ht="20" customHeight="1">
      <c r="A135" s="61"/>
      <c r="B135" s="52" t="str">
        <f t="shared" ref="B135:B166" si="8">IF(A135="","",MONTH(A135))</f>
        <v/>
      </c>
      <c r="C135" s="62"/>
      <c r="D135" s="62"/>
      <c r="E135" s="63"/>
      <c r="F135" s="62"/>
      <c r="G135" s="62"/>
      <c r="H135" s="62"/>
      <c r="I135" s="52" t="str">
        <f t="shared" ref="I135:I166" si="9">IF(A135="","",YEAR(A135))</f>
        <v/>
      </c>
    </row>
    <row r="136" spans="1:9" ht="20" customHeight="1">
      <c r="A136" s="61"/>
      <c r="B136" s="52" t="str">
        <f t="shared" si="8"/>
        <v/>
      </c>
      <c r="C136" s="62"/>
      <c r="D136" s="62"/>
      <c r="E136" s="63"/>
      <c r="F136" s="62"/>
      <c r="G136" s="62"/>
      <c r="H136" s="62"/>
      <c r="I136" s="52" t="str">
        <f t="shared" si="9"/>
        <v/>
      </c>
    </row>
    <row r="137" spans="1:9" ht="20" customHeight="1">
      <c r="A137" s="61"/>
      <c r="B137" s="52" t="str">
        <f t="shared" si="8"/>
        <v/>
      </c>
      <c r="C137" s="62"/>
      <c r="D137" s="62"/>
      <c r="E137" s="63"/>
      <c r="F137" s="62"/>
      <c r="G137" s="62"/>
      <c r="H137" s="62"/>
      <c r="I137" s="52" t="str">
        <f t="shared" si="9"/>
        <v/>
      </c>
    </row>
    <row r="138" spans="1:9" ht="20" customHeight="1">
      <c r="A138" s="61"/>
      <c r="B138" s="52" t="str">
        <f t="shared" si="8"/>
        <v/>
      </c>
      <c r="C138" s="62"/>
      <c r="D138" s="62"/>
      <c r="E138" s="63"/>
      <c r="F138" s="62"/>
      <c r="G138" s="62"/>
      <c r="H138" s="62"/>
      <c r="I138" s="52" t="str">
        <f t="shared" si="9"/>
        <v/>
      </c>
    </row>
    <row r="139" spans="1:9" ht="20" customHeight="1">
      <c r="A139" s="61"/>
      <c r="B139" s="52" t="str">
        <f t="shared" si="8"/>
        <v/>
      </c>
      <c r="C139" s="62"/>
      <c r="D139" s="62"/>
      <c r="E139" s="63"/>
      <c r="F139" s="62"/>
      <c r="G139" s="62"/>
      <c r="H139" s="62"/>
      <c r="I139" s="52" t="str">
        <f t="shared" si="9"/>
        <v/>
      </c>
    </row>
    <row r="140" spans="1:9" ht="20" customHeight="1">
      <c r="A140" s="61"/>
      <c r="B140" s="52" t="str">
        <f t="shared" si="8"/>
        <v/>
      </c>
      <c r="C140" s="62"/>
      <c r="D140" s="62"/>
      <c r="E140" s="63"/>
      <c r="F140" s="62"/>
      <c r="G140" s="62"/>
      <c r="H140" s="62"/>
      <c r="I140" s="52" t="str">
        <f t="shared" si="9"/>
        <v/>
      </c>
    </row>
    <row r="141" spans="1:9" ht="20" customHeight="1">
      <c r="A141" s="61"/>
      <c r="B141" s="52" t="str">
        <f t="shared" si="8"/>
        <v/>
      </c>
      <c r="C141" s="62"/>
      <c r="D141" s="62"/>
      <c r="E141" s="63"/>
      <c r="F141" s="62"/>
      <c r="G141" s="62"/>
      <c r="H141" s="62"/>
      <c r="I141" s="52" t="str">
        <f t="shared" si="9"/>
        <v/>
      </c>
    </row>
    <row r="142" spans="1:9" ht="20" customHeight="1">
      <c r="A142" s="61"/>
      <c r="B142" s="52" t="str">
        <f t="shared" si="8"/>
        <v/>
      </c>
      <c r="C142" s="62"/>
      <c r="D142" s="62"/>
      <c r="E142" s="63"/>
      <c r="F142" s="62"/>
      <c r="G142" s="62"/>
      <c r="H142" s="62"/>
      <c r="I142" s="52" t="str">
        <f t="shared" si="9"/>
        <v/>
      </c>
    </row>
    <row r="143" spans="1:9" ht="20" customHeight="1">
      <c r="A143" s="61"/>
      <c r="B143" s="52" t="str">
        <f t="shared" si="8"/>
        <v/>
      </c>
      <c r="C143" s="62"/>
      <c r="D143" s="62"/>
      <c r="E143" s="63"/>
      <c r="F143" s="62"/>
      <c r="G143" s="62"/>
      <c r="H143" s="62"/>
      <c r="I143" s="52" t="str">
        <f t="shared" si="9"/>
        <v/>
      </c>
    </row>
    <row r="144" spans="1:9" ht="20" customHeight="1">
      <c r="A144" s="61"/>
      <c r="B144" s="52" t="str">
        <f t="shared" si="8"/>
        <v/>
      </c>
      <c r="C144" s="62"/>
      <c r="D144" s="62"/>
      <c r="E144" s="63"/>
      <c r="F144" s="62"/>
      <c r="G144" s="62"/>
      <c r="H144" s="62"/>
      <c r="I144" s="52" t="str">
        <f t="shared" si="9"/>
        <v/>
      </c>
    </row>
    <row r="145" spans="1:9" ht="20" customHeight="1">
      <c r="A145" s="61"/>
      <c r="B145" s="52" t="str">
        <f t="shared" si="8"/>
        <v/>
      </c>
      <c r="C145" s="62"/>
      <c r="D145" s="62"/>
      <c r="E145" s="63"/>
      <c r="F145" s="62"/>
      <c r="G145" s="62"/>
      <c r="H145" s="62"/>
      <c r="I145" s="52" t="str">
        <f t="shared" si="9"/>
        <v/>
      </c>
    </row>
    <row r="146" spans="1:9" ht="20" customHeight="1">
      <c r="A146" s="61"/>
      <c r="B146" s="52" t="str">
        <f t="shared" si="8"/>
        <v/>
      </c>
      <c r="C146" s="62"/>
      <c r="D146" s="62"/>
      <c r="E146" s="63"/>
      <c r="F146" s="62"/>
      <c r="G146" s="62"/>
      <c r="H146" s="62"/>
      <c r="I146" s="52" t="str">
        <f t="shared" si="9"/>
        <v/>
      </c>
    </row>
    <row r="147" spans="1:9" ht="20" customHeight="1">
      <c r="A147" s="61"/>
      <c r="B147" s="52" t="str">
        <f t="shared" si="8"/>
        <v/>
      </c>
      <c r="C147" s="62"/>
      <c r="D147" s="62"/>
      <c r="E147" s="63"/>
      <c r="F147" s="62"/>
      <c r="G147" s="62"/>
      <c r="H147" s="62"/>
      <c r="I147" s="52" t="str">
        <f t="shared" si="9"/>
        <v/>
      </c>
    </row>
    <row r="148" spans="1:9" ht="20" customHeight="1">
      <c r="A148" s="61"/>
      <c r="B148" s="52" t="str">
        <f t="shared" si="8"/>
        <v/>
      </c>
      <c r="C148" s="62"/>
      <c r="D148" s="62"/>
      <c r="E148" s="63"/>
      <c r="F148" s="62"/>
      <c r="G148" s="62"/>
      <c r="H148" s="62"/>
      <c r="I148" s="52" t="str">
        <f t="shared" si="9"/>
        <v/>
      </c>
    </row>
    <row r="149" spans="1:9" ht="20" customHeight="1">
      <c r="A149" s="61"/>
      <c r="B149" s="52" t="str">
        <f t="shared" si="8"/>
        <v/>
      </c>
      <c r="C149" s="62"/>
      <c r="D149" s="62"/>
      <c r="E149" s="63"/>
      <c r="F149" s="62"/>
      <c r="G149" s="62"/>
      <c r="H149" s="62"/>
      <c r="I149" s="52" t="str">
        <f t="shared" si="9"/>
        <v/>
      </c>
    </row>
    <row r="150" spans="1:9" ht="20" customHeight="1">
      <c r="A150" s="61"/>
      <c r="B150" s="52" t="str">
        <f t="shared" si="8"/>
        <v/>
      </c>
      <c r="C150" s="62"/>
      <c r="D150" s="62"/>
      <c r="E150" s="63"/>
      <c r="F150" s="62"/>
      <c r="G150" s="62"/>
      <c r="H150" s="62"/>
      <c r="I150" s="52" t="str">
        <f t="shared" si="9"/>
        <v/>
      </c>
    </row>
    <row r="151" spans="1:9" ht="20" customHeight="1">
      <c r="A151" s="61"/>
      <c r="B151" s="52" t="str">
        <f t="shared" si="8"/>
        <v/>
      </c>
      <c r="C151" s="62"/>
      <c r="D151" s="62"/>
      <c r="E151" s="63"/>
      <c r="F151" s="62"/>
      <c r="G151" s="62"/>
      <c r="H151" s="62"/>
      <c r="I151" s="52" t="str">
        <f t="shared" si="9"/>
        <v/>
      </c>
    </row>
    <row r="152" spans="1:9" ht="20" customHeight="1">
      <c r="A152" s="61"/>
      <c r="B152" s="52" t="str">
        <f t="shared" si="8"/>
        <v/>
      </c>
      <c r="C152" s="62"/>
      <c r="D152" s="62"/>
      <c r="E152" s="63"/>
      <c r="F152" s="62"/>
      <c r="G152" s="62"/>
      <c r="H152" s="62"/>
      <c r="I152" s="52" t="str">
        <f t="shared" si="9"/>
        <v/>
      </c>
    </row>
    <row r="153" spans="1:9" ht="20" customHeight="1">
      <c r="A153" s="61"/>
      <c r="B153" s="52" t="str">
        <f t="shared" si="8"/>
        <v/>
      </c>
      <c r="C153" s="62"/>
      <c r="D153" s="62"/>
      <c r="E153" s="63"/>
      <c r="F153" s="62"/>
      <c r="G153" s="62"/>
      <c r="H153" s="62"/>
      <c r="I153" s="52" t="str">
        <f t="shared" si="9"/>
        <v/>
      </c>
    </row>
    <row r="154" spans="1:9" ht="20" customHeight="1">
      <c r="A154" s="61"/>
      <c r="B154" s="52" t="str">
        <f t="shared" si="8"/>
        <v/>
      </c>
      <c r="C154" s="62"/>
      <c r="D154" s="62"/>
      <c r="E154" s="63"/>
      <c r="F154" s="62"/>
      <c r="G154" s="62"/>
      <c r="H154" s="62"/>
      <c r="I154" s="52" t="str">
        <f t="shared" si="9"/>
        <v/>
      </c>
    </row>
    <row r="155" spans="1:9" ht="20" customHeight="1">
      <c r="A155" s="61"/>
      <c r="B155" s="52" t="str">
        <f t="shared" si="8"/>
        <v/>
      </c>
      <c r="C155" s="62"/>
      <c r="D155" s="62"/>
      <c r="E155" s="63"/>
      <c r="F155" s="62"/>
      <c r="G155" s="62"/>
      <c r="H155" s="62"/>
      <c r="I155" s="52" t="str">
        <f t="shared" si="9"/>
        <v/>
      </c>
    </row>
    <row r="156" spans="1:9" ht="20" customHeight="1">
      <c r="A156" s="61"/>
      <c r="B156" s="52" t="str">
        <f t="shared" si="8"/>
        <v/>
      </c>
      <c r="C156" s="62"/>
      <c r="D156" s="62"/>
      <c r="E156" s="63"/>
      <c r="F156" s="62"/>
      <c r="G156" s="62"/>
      <c r="H156" s="62"/>
      <c r="I156" s="52" t="str">
        <f t="shared" si="9"/>
        <v/>
      </c>
    </row>
    <row r="157" spans="1:9" ht="20" customHeight="1">
      <c r="A157" s="61"/>
      <c r="B157" s="52" t="str">
        <f t="shared" si="8"/>
        <v/>
      </c>
      <c r="C157" s="62"/>
      <c r="D157" s="62"/>
      <c r="E157" s="63"/>
      <c r="F157" s="62"/>
      <c r="G157" s="62"/>
      <c r="H157" s="62"/>
      <c r="I157" s="52" t="str">
        <f t="shared" si="9"/>
        <v/>
      </c>
    </row>
    <row r="158" spans="1:9" ht="20" customHeight="1">
      <c r="A158" s="61"/>
      <c r="B158" s="52" t="str">
        <f t="shared" si="8"/>
        <v/>
      </c>
      <c r="C158" s="62"/>
      <c r="D158" s="62"/>
      <c r="E158" s="63"/>
      <c r="F158" s="62"/>
      <c r="G158" s="62"/>
      <c r="H158" s="62"/>
      <c r="I158" s="52" t="str">
        <f t="shared" si="9"/>
        <v/>
      </c>
    </row>
    <row r="159" spans="1:9" ht="20" customHeight="1">
      <c r="A159" s="61"/>
      <c r="B159" s="52" t="str">
        <f t="shared" si="8"/>
        <v/>
      </c>
      <c r="C159" s="62"/>
      <c r="D159" s="62"/>
      <c r="E159" s="63"/>
      <c r="F159" s="62"/>
      <c r="G159" s="62"/>
      <c r="H159" s="62"/>
      <c r="I159" s="52" t="str">
        <f t="shared" si="9"/>
        <v/>
      </c>
    </row>
    <row r="160" spans="1:9" ht="20" customHeight="1">
      <c r="A160" s="61"/>
      <c r="B160" s="52" t="str">
        <f t="shared" si="8"/>
        <v/>
      </c>
      <c r="C160" s="62"/>
      <c r="D160" s="62"/>
      <c r="E160" s="63"/>
      <c r="F160" s="62"/>
      <c r="G160" s="62"/>
      <c r="H160" s="62"/>
      <c r="I160" s="52" t="str">
        <f t="shared" si="9"/>
        <v/>
      </c>
    </row>
    <row r="161" spans="1:9" ht="20" customHeight="1">
      <c r="A161" s="61"/>
      <c r="B161" s="52" t="str">
        <f t="shared" si="8"/>
        <v/>
      </c>
      <c r="C161" s="62"/>
      <c r="D161" s="62"/>
      <c r="E161" s="63"/>
      <c r="F161" s="62"/>
      <c r="G161" s="62"/>
      <c r="H161" s="62"/>
      <c r="I161" s="52" t="str">
        <f t="shared" si="9"/>
        <v/>
      </c>
    </row>
    <row r="162" spans="1:9" ht="20" customHeight="1">
      <c r="A162" s="61"/>
      <c r="B162" s="52" t="str">
        <f t="shared" si="8"/>
        <v/>
      </c>
      <c r="C162" s="62"/>
      <c r="D162" s="62"/>
      <c r="E162" s="63"/>
      <c r="F162" s="62"/>
      <c r="G162" s="62"/>
      <c r="H162" s="62"/>
      <c r="I162" s="52" t="str">
        <f t="shared" si="9"/>
        <v/>
      </c>
    </row>
    <row r="163" spans="1:9" ht="20" customHeight="1">
      <c r="A163" s="61"/>
      <c r="B163" s="52" t="str">
        <f t="shared" si="8"/>
        <v/>
      </c>
      <c r="C163" s="62"/>
      <c r="D163" s="62"/>
      <c r="E163" s="63"/>
      <c r="F163" s="62"/>
      <c r="G163" s="62"/>
      <c r="H163" s="62"/>
      <c r="I163" s="52" t="str">
        <f t="shared" si="9"/>
        <v/>
      </c>
    </row>
    <row r="164" spans="1:9" ht="20" customHeight="1">
      <c r="A164" s="61"/>
      <c r="B164" s="52" t="str">
        <f t="shared" si="8"/>
        <v/>
      </c>
      <c r="C164" s="62"/>
      <c r="D164" s="62"/>
      <c r="E164" s="63"/>
      <c r="F164" s="62"/>
      <c r="G164" s="62"/>
      <c r="H164" s="62"/>
      <c r="I164" s="52" t="str">
        <f t="shared" si="9"/>
        <v/>
      </c>
    </row>
    <row r="165" spans="1:9" ht="20" customHeight="1">
      <c r="A165" s="61"/>
      <c r="B165" s="52" t="str">
        <f t="shared" si="8"/>
        <v/>
      </c>
      <c r="C165" s="62"/>
      <c r="D165" s="62"/>
      <c r="E165" s="63"/>
      <c r="F165" s="62"/>
      <c r="G165" s="62"/>
      <c r="H165" s="62"/>
      <c r="I165" s="52" t="str">
        <f t="shared" si="9"/>
        <v/>
      </c>
    </row>
    <row r="166" spans="1:9" ht="20" customHeight="1">
      <c r="A166" s="61"/>
      <c r="B166" s="52" t="str">
        <f t="shared" si="8"/>
        <v/>
      </c>
      <c r="C166" s="62"/>
      <c r="D166" s="62"/>
      <c r="E166" s="63"/>
      <c r="F166" s="62"/>
      <c r="G166" s="62"/>
      <c r="H166" s="62"/>
      <c r="I166" s="52" t="str">
        <f t="shared" si="9"/>
        <v/>
      </c>
    </row>
    <row r="167" spans="1:9" ht="20" customHeight="1">
      <c r="A167" s="61"/>
      <c r="B167" s="52" t="str">
        <f t="shared" ref="B167:B198" si="10">IF(A167="","",MONTH(A167))</f>
        <v/>
      </c>
      <c r="C167" s="62"/>
      <c r="D167" s="62"/>
      <c r="E167" s="63"/>
      <c r="F167" s="62"/>
      <c r="G167" s="62"/>
      <c r="H167" s="62"/>
      <c r="I167" s="52" t="str">
        <f t="shared" ref="I167:I198" si="11">IF(A167="","",YEAR(A167))</f>
        <v/>
      </c>
    </row>
    <row r="168" spans="1:9" ht="20" customHeight="1">
      <c r="A168" s="61"/>
      <c r="B168" s="52" t="str">
        <f t="shared" si="10"/>
        <v/>
      </c>
      <c r="C168" s="62"/>
      <c r="D168" s="62"/>
      <c r="E168" s="63"/>
      <c r="F168" s="62"/>
      <c r="G168" s="62"/>
      <c r="H168" s="62"/>
      <c r="I168" s="52" t="str">
        <f t="shared" si="11"/>
        <v/>
      </c>
    </row>
    <row r="169" spans="1:9" ht="20" customHeight="1">
      <c r="A169" s="61"/>
      <c r="B169" s="52" t="str">
        <f t="shared" si="10"/>
        <v/>
      </c>
      <c r="C169" s="62"/>
      <c r="D169" s="62"/>
      <c r="E169" s="63"/>
      <c r="F169" s="62"/>
      <c r="G169" s="62"/>
      <c r="H169" s="62"/>
      <c r="I169" s="52" t="str">
        <f t="shared" si="11"/>
        <v/>
      </c>
    </row>
    <row r="170" spans="1:9" ht="20" customHeight="1">
      <c r="A170" s="61"/>
      <c r="B170" s="52" t="str">
        <f t="shared" si="10"/>
        <v/>
      </c>
      <c r="C170" s="62"/>
      <c r="D170" s="62"/>
      <c r="E170" s="63"/>
      <c r="F170" s="62"/>
      <c r="G170" s="62"/>
      <c r="H170" s="62"/>
      <c r="I170" s="52" t="str">
        <f t="shared" si="11"/>
        <v/>
      </c>
    </row>
    <row r="171" spans="1:9" ht="20" customHeight="1">
      <c r="A171" s="61"/>
      <c r="B171" s="52" t="str">
        <f t="shared" si="10"/>
        <v/>
      </c>
      <c r="C171" s="62"/>
      <c r="D171" s="62"/>
      <c r="E171" s="63"/>
      <c r="F171" s="62"/>
      <c r="G171" s="62"/>
      <c r="H171" s="62"/>
      <c r="I171" s="52" t="str">
        <f t="shared" si="11"/>
        <v/>
      </c>
    </row>
    <row r="172" spans="1:9" ht="20" customHeight="1">
      <c r="A172" s="61"/>
      <c r="B172" s="52" t="str">
        <f t="shared" si="10"/>
        <v/>
      </c>
      <c r="C172" s="62"/>
      <c r="D172" s="62"/>
      <c r="E172" s="63"/>
      <c r="F172" s="62"/>
      <c r="G172" s="62"/>
      <c r="H172" s="62"/>
      <c r="I172" s="52" t="str">
        <f t="shared" si="11"/>
        <v/>
      </c>
    </row>
    <row r="173" spans="1:9" ht="20" customHeight="1">
      <c r="A173" s="61"/>
      <c r="B173" s="52" t="str">
        <f t="shared" si="10"/>
        <v/>
      </c>
      <c r="C173" s="62"/>
      <c r="D173" s="62"/>
      <c r="E173" s="63"/>
      <c r="F173" s="62"/>
      <c r="G173" s="62"/>
      <c r="H173" s="62"/>
      <c r="I173" s="52" t="str">
        <f t="shared" si="11"/>
        <v/>
      </c>
    </row>
    <row r="174" spans="1:9" ht="20" customHeight="1">
      <c r="A174" s="61"/>
      <c r="B174" s="52" t="str">
        <f t="shared" si="10"/>
        <v/>
      </c>
      <c r="C174" s="62"/>
      <c r="D174" s="62"/>
      <c r="E174" s="63"/>
      <c r="F174" s="62"/>
      <c r="G174" s="62"/>
      <c r="H174" s="62"/>
      <c r="I174" s="52" t="str">
        <f t="shared" si="11"/>
        <v/>
      </c>
    </row>
    <row r="175" spans="1:9" ht="20" customHeight="1">
      <c r="A175" s="61"/>
      <c r="B175" s="52" t="str">
        <f t="shared" si="10"/>
        <v/>
      </c>
      <c r="C175" s="62"/>
      <c r="D175" s="62"/>
      <c r="E175" s="63"/>
      <c r="F175" s="62"/>
      <c r="G175" s="62"/>
      <c r="H175" s="62"/>
      <c r="I175" s="52" t="str">
        <f t="shared" si="11"/>
        <v/>
      </c>
    </row>
    <row r="176" spans="1:9" ht="20" customHeight="1">
      <c r="A176" s="61"/>
      <c r="B176" s="52" t="str">
        <f t="shared" si="10"/>
        <v/>
      </c>
      <c r="C176" s="62"/>
      <c r="D176" s="62"/>
      <c r="E176" s="63"/>
      <c r="F176" s="62"/>
      <c r="G176" s="62"/>
      <c r="H176" s="62"/>
      <c r="I176" s="52" t="str">
        <f t="shared" si="11"/>
        <v/>
      </c>
    </row>
    <row r="177" spans="1:9" ht="20" customHeight="1">
      <c r="A177" s="61"/>
      <c r="B177" s="52" t="str">
        <f t="shared" si="10"/>
        <v/>
      </c>
      <c r="C177" s="62"/>
      <c r="D177" s="62"/>
      <c r="E177" s="63"/>
      <c r="F177" s="62"/>
      <c r="G177" s="62"/>
      <c r="H177" s="62"/>
      <c r="I177" s="52" t="str">
        <f t="shared" si="11"/>
        <v/>
      </c>
    </row>
    <row r="178" spans="1:9" ht="20" customHeight="1">
      <c r="A178" s="61"/>
      <c r="B178" s="52" t="str">
        <f t="shared" si="10"/>
        <v/>
      </c>
      <c r="C178" s="62"/>
      <c r="D178" s="62"/>
      <c r="E178" s="63"/>
      <c r="F178" s="62"/>
      <c r="G178" s="62"/>
      <c r="H178" s="62"/>
      <c r="I178" s="52" t="str">
        <f t="shared" si="11"/>
        <v/>
      </c>
    </row>
    <row r="179" spans="1:9" ht="20" customHeight="1">
      <c r="A179" s="61"/>
      <c r="B179" s="52" t="str">
        <f t="shared" si="10"/>
        <v/>
      </c>
      <c r="C179" s="62"/>
      <c r="D179" s="62"/>
      <c r="E179" s="63"/>
      <c r="F179" s="62"/>
      <c r="G179" s="62"/>
      <c r="H179" s="62"/>
      <c r="I179" s="52" t="str">
        <f t="shared" si="11"/>
        <v/>
      </c>
    </row>
    <row r="180" spans="1:9" ht="20" customHeight="1">
      <c r="A180" s="61"/>
      <c r="B180" s="52" t="str">
        <f t="shared" si="10"/>
        <v/>
      </c>
      <c r="C180" s="62"/>
      <c r="D180" s="62"/>
      <c r="E180" s="63"/>
      <c r="F180" s="62"/>
      <c r="G180" s="62"/>
      <c r="H180" s="62"/>
      <c r="I180" s="52" t="str">
        <f t="shared" si="11"/>
        <v/>
      </c>
    </row>
    <row r="181" spans="1:9" ht="20" customHeight="1">
      <c r="A181" s="61"/>
      <c r="B181" s="52" t="str">
        <f t="shared" si="10"/>
        <v/>
      </c>
      <c r="C181" s="62"/>
      <c r="D181" s="62"/>
      <c r="E181" s="63"/>
      <c r="F181" s="62"/>
      <c r="G181" s="62"/>
      <c r="H181" s="62"/>
      <c r="I181" s="52" t="str">
        <f t="shared" si="11"/>
        <v/>
      </c>
    </row>
    <row r="182" spans="1:9" ht="20" customHeight="1">
      <c r="A182" s="61"/>
      <c r="B182" s="52" t="str">
        <f t="shared" si="10"/>
        <v/>
      </c>
      <c r="C182" s="62"/>
      <c r="D182" s="62"/>
      <c r="E182" s="63"/>
      <c r="F182" s="62"/>
      <c r="G182" s="62"/>
      <c r="H182" s="62"/>
      <c r="I182" s="52" t="str">
        <f t="shared" si="11"/>
        <v/>
      </c>
    </row>
    <row r="183" spans="1:9" ht="20" customHeight="1">
      <c r="A183" s="61"/>
      <c r="B183" s="52" t="str">
        <f t="shared" si="10"/>
        <v/>
      </c>
      <c r="C183" s="62"/>
      <c r="D183" s="62"/>
      <c r="E183" s="63"/>
      <c r="F183" s="62"/>
      <c r="G183" s="62"/>
      <c r="H183" s="62"/>
      <c r="I183" s="52" t="str">
        <f t="shared" si="11"/>
        <v/>
      </c>
    </row>
    <row r="184" spans="1:9" ht="20" customHeight="1">
      <c r="A184" s="61"/>
      <c r="B184" s="52" t="str">
        <f t="shared" si="10"/>
        <v/>
      </c>
      <c r="C184" s="62"/>
      <c r="D184" s="62"/>
      <c r="E184" s="63"/>
      <c r="F184" s="62"/>
      <c r="G184" s="62"/>
      <c r="H184" s="62"/>
      <c r="I184" s="52" t="str">
        <f t="shared" si="11"/>
        <v/>
      </c>
    </row>
    <row r="185" spans="1:9" ht="20" customHeight="1">
      <c r="A185" s="61"/>
      <c r="B185" s="52" t="str">
        <f t="shared" si="10"/>
        <v/>
      </c>
      <c r="C185" s="62"/>
      <c r="D185" s="62"/>
      <c r="E185" s="63"/>
      <c r="F185" s="62"/>
      <c r="G185" s="62"/>
      <c r="H185" s="62"/>
      <c r="I185" s="52" t="str">
        <f t="shared" si="11"/>
        <v/>
      </c>
    </row>
    <row r="186" spans="1:9" ht="20" customHeight="1">
      <c r="A186" s="61"/>
      <c r="B186" s="52" t="str">
        <f t="shared" si="10"/>
        <v/>
      </c>
      <c r="C186" s="62"/>
      <c r="D186" s="62"/>
      <c r="E186" s="63"/>
      <c r="F186" s="62"/>
      <c r="G186" s="62"/>
      <c r="H186" s="62"/>
      <c r="I186" s="52" t="str">
        <f t="shared" si="11"/>
        <v/>
      </c>
    </row>
    <row r="187" spans="1:9" ht="20" customHeight="1">
      <c r="A187" s="61"/>
      <c r="B187" s="52" t="str">
        <f t="shared" si="10"/>
        <v/>
      </c>
      <c r="C187" s="62"/>
      <c r="D187" s="62"/>
      <c r="E187" s="63"/>
      <c r="F187" s="62"/>
      <c r="G187" s="62"/>
      <c r="H187" s="62"/>
      <c r="I187" s="52" t="str">
        <f t="shared" si="11"/>
        <v/>
      </c>
    </row>
    <row r="188" spans="1:9" ht="20" customHeight="1">
      <c r="A188" s="61"/>
      <c r="B188" s="52" t="str">
        <f t="shared" si="10"/>
        <v/>
      </c>
      <c r="C188" s="62"/>
      <c r="D188" s="62"/>
      <c r="E188" s="63"/>
      <c r="F188" s="62"/>
      <c r="G188" s="62"/>
      <c r="H188" s="62"/>
      <c r="I188" s="52" t="str">
        <f t="shared" si="11"/>
        <v/>
      </c>
    </row>
    <row r="189" spans="1:9" ht="20" customHeight="1">
      <c r="A189" s="61"/>
      <c r="B189" s="52" t="str">
        <f t="shared" si="10"/>
        <v/>
      </c>
      <c r="C189" s="62"/>
      <c r="D189" s="62"/>
      <c r="E189" s="63"/>
      <c r="F189" s="62"/>
      <c r="G189" s="62"/>
      <c r="H189" s="62"/>
      <c r="I189" s="52" t="str">
        <f t="shared" si="11"/>
        <v/>
      </c>
    </row>
    <row r="190" spans="1:9" ht="20" customHeight="1">
      <c r="A190" s="61"/>
      <c r="B190" s="52" t="str">
        <f t="shared" si="10"/>
        <v/>
      </c>
      <c r="C190" s="62"/>
      <c r="D190" s="62"/>
      <c r="E190" s="63"/>
      <c r="F190" s="62"/>
      <c r="G190" s="62"/>
      <c r="H190" s="62"/>
      <c r="I190" s="52" t="str">
        <f t="shared" si="11"/>
        <v/>
      </c>
    </row>
    <row r="191" spans="1:9" ht="20" customHeight="1">
      <c r="A191" s="61"/>
      <c r="B191" s="52" t="str">
        <f t="shared" si="10"/>
        <v/>
      </c>
      <c r="C191" s="62"/>
      <c r="D191" s="62"/>
      <c r="E191" s="63"/>
      <c r="F191" s="62"/>
      <c r="G191" s="62"/>
      <c r="H191" s="62"/>
      <c r="I191" s="52" t="str">
        <f t="shared" si="11"/>
        <v/>
      </c>
    </row>
    <row r="192" spans="1:9" ht="20" customHeight="1">
      <c r="A192" s="61"/>
      <c r="B192" s="52" t="str">
        <f t="shared" si="10"/>
        <v/>
      </c>
      <c r="C192" s="62"/>
      <c r="D192" s="62"/>
      <c r="E192" s="63"/>
      <c r="F192" s="62"/>
      <c r="G192" s="62"/>
      <c r="H192" s="62"/>
      <c r="I192" s="52" t="str">
        <f t="shared" si="11"/>
        <v/>
      </c>
    </row>
    <row r="193" spans="1:9" ht="20" customHeight="1">
      <c r="A193" s="61"/>
      <c r="B193" s="52" t="str">
        <f t="shared" si="10"/>
        <v/>
      </c>
      <c r="C193" s="62"/>
      <c r="D193" s="62"/>
      <c r="E193" s="63"/>
      <c r="F193" s="62"/>
      <c r="G193" s="62"/>
      <c r="H193" s="62"/>
      <c r="I193" s="52" t="str">
        <f t="shared" si="11"/>
        <v/>
      </c>
    </row>
    <row r="194" spans="1:9" ht="20" customHeight="1">
      <c r="A194" s="61"/>
      <c r="B194" s="52" t="str">
        <f t="shared" si="10"/>
        <v/>
      </c>
      <c r="C194" s="62"/>
      <c r="D194" s="62"/>
      <c r="E194" s="63"/>
      <c r="F194" s="62"/>
      <c r="G194" s="62"/>
      <c r="H194" s="62"/>
      <c r="I194" s="52" t="str">
        <f t="shared" si="11"/>
        <v/>
      </c>
    </row>
    <row r="195" spans="1:9" ht="20" customHeight="1">
      <c r="A195" s="61"/>
      <c r="B195" s="52" t="str">
        <f t="shared" si="10"/>
        <v/>
      </c>
      <c r="C195" s="62"/>
      <c r="D195" s="62"/>
      <c r="E195" s="63"/>
      <c r="F195" s="62"/>
      <c r="G195" s="62"/>
      <c r="H195" s="62"/>
      <c r="I195" s="52" t="str">
        <f t="shared" si="11"/>
        <v/>
      </c>
    </row>
    <row r="196" spans="1:9" ht="20" customHeight="1">
      <c r="A196" s="61"/>
      <c r="B196" s="52" t="str">
        <f t="shared" si="10"/>
        <v/>
      </c>
      <c r="C196" s="62"/>
      <c r="D196" s="62"/>
      <c r="E196" s="63"/>
      <c r="F196" s="62"/>
      <c r="G196" s="62"/>
      <c r="H196" s="62"/>
      <c r="I196" s="52" t="str">
        <f t="shared" si="11"/>
        <v/>
      </c>
    </row>
    <row r="197" spans="1:9" ht="20" customHeight="1">
      <c r="A197" s="61"/>
      <c r="B197" s="52" t="str">
        <f t="shared" si="10"/>
        <v/>
      </c>
      <c r="C197" s="62"/>
      <c r="D197" s="62"/>
      <c r="E197" s="63"/>
      <c r="F197" s="62"/>
      <c r="G197" s="62"/>
      <c r="H197" s="62"/>
      <c r="I197" s="52" t="str">
        <f t="shared" si="11"/>
        <v/>
      </c>
    </row>
    <row r="198" spans="1:9" ht="20" customHeight="1">
      <c r="A198" s="61"/>
      <c r="B198" s="52" t="str">
        <f t="shared" si="10"/>
        <v/>
      </c>
      <c r="C198" s="62"/>
      <c r="D198" s="62"/>
      <c r="E198" s="63"/>
      <c r="F198" s="62"/>
      <c r="G198" s="62"/>
      <c r="H198" s="62"/>
      <c r="I198" s="52" t="str">
        <f t="shared" si="11"/>
        <v/>
      </c>
    </row>
    <row r="199" spans="1:9" ht="20" customHeight="1">
      <c r="A199" s="61"/>
      <c r="B199" s="52" t="str">
        <f t="shared" ref="B199:B230" si="12">IF(A199="","",MONTH(A199))</f>
        <v/>
      </c>
      <c r="C199" s="62"/>
      <c r="D199" s="62"/>
      <c r="E199" s="63"/>
      <c r="F199" s="62"/>
      <c r="G199" s="62"/>
      <c r="H199" s="62"/>
      <c r="I199" s="52" t="str">
        <f t="shared" ref="I199:I205" si="13">IF(A199="","",YEAR(A199))</f>
        <v/>
      </c>
    </row>
    <row r="200" spans="1:9" ht="20" customHeight="1">
      <c r="A200" s="61"/>
      <c r="B200" s="52" t="str">
        <f t="shared" si="12"/>
        <v/>
      </c>
      <c r="C200" s="62"/>
      <c r="D200" s="62"/>
      <c r="E200" s="63"/>
      <c r="F200" s="62"/>
      <c r="G200" s="62"/>
      <c r="H200" s="62"/>
      <c r="I200" s="52" t="str">
        <f t="shared" si="13"/>
        <v/>
      </c>
    </row>
    <row r="201" spans="1:9" ht="20" customHeight="1">
      <c r="A201" s="61"/>
      <c r="B201" s="52" t="str">
        <f t="shared" si="12"/>
        <v/>
      </c>
      <c r="C201" s="62"/>
      <c r="D201" s="62"/>
      <c r="E201" s="63"/>
      <c r="F201" s="62"/>
      <c r="G201" s="62"/>
      <c r="H201" s="62"/>
      <c r="I201" s="52" t="str">
        <f t="shared" si="13"/>
        <v/>
      </c>
    </row>
    <row r="202" spans="1:9" ht="20" customHeight="1">
      <c r="A202" s="61"/>
      <c r="B202" s="52" t="str">
        <f t="shared" si="12"/>
        <v/>
      </c>
      <c r="C202" s="62"/>
      <c r="D202" s="62"/>
      <c r="E202" s="63"/>
      <c r="F202" s="62"/>
      <c r="G202" s="62"/>
      <c r="H202" s="62"/>
      <c r="I202" s="52" t="str">
        <f t="shared" si="13"/>
        <v/>
      </c>
    </row>
    <row r="203" spans="1:9" ht="20" customHeight="1">
      <c r="A203" s="61"/>
      <c r="B203" s="52" t="str">
        <f t="shared" si="12"/>
        <v/>
      </c>
      <c r="C203" s="62"/>
      <c r="D203" s="62"/>
      <c r="E203" s="63"/>
      <c r="F203" s="62"/>
      <c r="G203" s="62"/>
      <c r="H203" s="62"/>
      <c r="I203" s="52" t="str">
        <f t="shared" si="13"/>
        <v/>
      </c>
    </row>
    <row r="204" spans="1:9" ht="20" customHeight="1">
      <c r="A204" s="61"/>
      <c r="B204" s="52" t="str">
        <f t="shared" si="12"/>
        <v/>
      </c>
      <c r="C204" s="62"/>
      <c r="D204" s="62"/>
      <c r="E204" s="63"/>
      <c r="F204" s="62"/>
      <c r="G204" s="62"/>
      <c r="H204" s="62"/>
      <c r="I204" s="52" t="str">
        <f t="shared" si="13"/>
        <v/>
      </c>
    </row>
    <row r="205" spans="1:9" ht="20" customHeight="1">
      <c r="A205" s="61"/>
      <c r="B205" s="52" t="str">
        <f t="shared" si="12"/>
        <v/>
      </c>
      <c r="C205" s="62"/>
      <c r="D205" s="62"/>
      <c r="E205" s="63"/>
      <c r="F205" s="62"/>
      <c r="G205" s="62"/>
      <c r="H205" s="62"/>
      <c r="I205" s="52" t="str">
        <f t="shared" si="13"/>
        <v/>
      </c>
    </row>
  </sheetData>
  <mergeCells count="3">
    <mergeCell ref="A1:I2"/>
    <mergeCell ref="A3:I3"/>
    <mergeCell ref="A5:I5"/>
  </mergeCells>
  <dataValidations count="1">
    <dataValidation type="whole" sqref="E7:E205" xr:uid="{00000000-0002-0000-0200-000003000000}">
      <formula1>0</formula1>
      <formula2>100000000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0000000}">
          <x14:formula1>
            <xm:f>Configuracion!$G$7:$G$25</xm:f>
          </x14:formula1>
          <xm:sqref>C7:C205</xm:sqref>
        </x14:dataValidation>
        <x14:dataValidation type="list" xr:uid="{00000000-0002-0000-0200-000001000000}">
          <x14:formula1>
            <xm:f>Configuracion!$H$7:$H$25</xm:f>
          </x14:formula1>
          <xm:sqref>F7:F205</xm:sqref>
        </x14:dataValidation>
        <x14:dataValidation type="list" xr:uid="{00000000-0002-0000-0200-000002000000}">
          <x14:formula1>
            <xm:f>Configuracion!$I$7:$I$25</xm:f>
          </x14:formula1>
          <xm:sqref>G7:G205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5"/>
  <sheetViews>
    <sheetView showGridLines="0" workbookViewId="0">
      <selection activeCell="D10" sqref="D10"/>
    </sheetView>
  </sheetViews>
  <sheetFormatPr baseColWidth="10" defaultColWidth="8.83203125" defaultRowHeight="15"/>
  <cols>
    <col min="1" max="1" width="14" style="2" customWidth="1"/>
    <col min="2" max="2" width="8" style="2" customWidth="1"/>
    <col min="3" max="3" width="14" style="2" customWidth="1"/>
    <col min="4" max="4" width="26" style="2" customWidth="1"/>
    <col min="5" max="6" width="16" style="2" customWidth="1"/>
    <col min="7" max="7" width="34" style="2" customWidth="1"/>
    <col min="8" max="8" width="10" style="2" customWidth="1"/>
    <col min="9" max="16384" width="8.83203125" style="2"/>
  </cols>
  <sheetData>
    <row r="1" spans="1:8" ht="34" customHeight="1">
      <c r="A1" s="1" t="s">
        <v>77</v>
      </c>
      <c r="B1" s="1" t="s">
        <v>77</v>
      </c>
      <c r="C1" s="1" t="s">
        <v>77</v>
      </c>
      <c r="D1" s="1" t="s">
        <v>77</v>
      </c>
      <c r="E1" s="1" t="s">
        <v>77</v>
      </c>
      <c r="F1" s="1" t="s">
        <v>77</v>
      </c>
      <c r="G1" s="1" t="s">
        <v>77</v>
      </c>
      <c r="H1" s="1" t="s">
        <v>77</v>
      </c>
    </row>
    <row r="2" spans="1:8" ht="34" customHeight="1">
      <c r="A2" s="1" t="s">
        <v>77</v>
      </c>
      <c r="B2" s="1" t="s">
        <v>77</v>
      </c>
      <c r="C2" s="1" t="s">
        <v>77</v>
      </c>
      <c r="D2" s="1" t="s">
        <v>77</v>
      </c>
      <c r="E2" s="1" t="s">
        <v>77</v>
      </c>
      <c r="F2" s="1" t="s">
        <v>77</v>
      </c>
      <c r="G2" s="1" t="s">
        <v>77</v>
      </c>
      <c r="H2" s="1" t="s">
        <v>77</v>
      </c>
    </row>
    <row r="3" spans="1:8">
      <c r="A3" s="47" t="str">
        <f>"Periodo activo: "&amp;CHOOSE(Configuracion!$B$8,"Enero","Febrero","Marzo","Abril","Mayo","Junio","Julio","Agosto","Septiembre","Octubre","Noviembre","Diciembre")&amp;" "&amp;Configuracion!$B$7&amp;" | Anota aqui cada envio recibido."</f>
        <v>Periodo activo: Junio 2026 | Anota aqui cada envio recibido.</v>
      </c>
      <c r="B3" s="47"/>
      <c r="C3" s="47"/>
      <c r="D3" s="47"/>
      <c r="E3" s="47"/>
      <c r="F3" s="47"/>
      <c r="G3" s="47"/>
      <c r="H3" s="47"/>
    </row>
    <row r="5" spans="1:8">
      <c r="A5" s="48" t="s">
        <v>78</v>
      </c>
      <c r="B5" s="48" t="s">
        <v>78</v>
      </c>
      <c r="C5" s="48" t="s">
        <v>78</v>
      </c>
      <c r="D5" s="48" t="s">
        <v>78</v>
      </c>
      <c r="E5" s="48" t="s">
        <v>78</v>
      </c>
      <c r="F5" s="48" t="s">
        <v>78</v>
      </c>
      <c r="G5" s="48" t="s">
        <v>78</v>
      </c>
      <c r="H5" s="48" t="s">
        <v>78</v>
      </c>
    </row>
    <row r="6" spans="1:8">
      <c r="A6" s="60" t="s">
        <v>62</v>
      </c>
      <c r="B6" s="60" t="s">
        <v>71</v>
      </c>
      <c r="C6" s="60" t="s">
        <v>45</v>
      </c>
      <c r="D6" s="60" t="s">
        <v>79</v>
      </c>
      <c r="E6" s="60" t="s">
        <v>80</v>
      </c>
      <c r="F6" s="60" t="s">
        <v>81</v>
      </c>
      <c r="G6" s="60" t="s">
        <v>68</v>
      </c>
      <c r="H6" s="60" t="s">
        <v>76</v>
      </c>
    </row>
    <row r="7" spans="1:8" ht="20" customHeight="1">
      <c r="A7" s="61"/>
      <c r="B7" s="52" t="str">
        <f t="shared" ref="B7:B38" si="0">IF(A7="","",MONTH(A7))</f>
        <v/>
      </c>
      <c r="C7" s="62"/>
      <c r="D7" s="62"/>
      <c r="E7" s="63"/>
      <c r="F7" s="62"/>
      <c r="G7" s="62"/>
      <c r="H7" s="52" t="str">
        <f t="shared" ref="H7:H38" si="1">IF(A7="","",YEAR(A7))</f>
        <v/>
      </c>
    </row>
    <row r="8" spans="1:8" ht="20" customHeight="1">
      <c r="A8" s="61"/>
      <c r="B8" s="52" t="str">
        <f t="shared" si="0"/>
        <v/>
      </c>
      <c r="C8" s="62"/>
      <c r="D8" s="62"/>
      <c r="E8" s="63"/>
      <c r="F8" s="62"/>
      <c r="G8" s="62"/>
      <c r="H8" s="52" t="str">
        <f t="shared" si="1"/>
        <v/>
      </c>
    </row>
    <row r="9" spans="1:8" ht="20" customHeight="1">
      <c r="A9" s="61"/>
      <c r="B9" s="52" t="str">
        <f t="shared" si="0"/>
        <v/>
      </c>
      <c r="C9" s="62"/>
      <c r="D9" s="62"/>
      <c r="E9" s="63"/>
      <c r="F9" s="62"/>
      <c r="G9" s="62"/>
      <c r="H9" s="52" t="str">
        <f t="shared" si="1"/>
        <v/>
      </c>
    </row>
    <row r="10" spans="1:8" ht="20" customHeight="1">
      <c r="A10" s="61"/>
      <c r="B10" s="52" t="str">
        <f t="shared" si="0"/>
        <v/>
      </c>
      <c r="C10" s="62"/>
      <c r="D10" s="62"/>
      <c r="E10" s="63"/>
      <c r="F10" s="62"/>
      <c r="G10" s="62"/>
      <c r="H10" s="52" t="str">
        <f t="shared" si="1"/>
        <v/>
      </c>
    </row>
    <row r="11" spans="1:8" ht="20" customHeight="1">
      <c r="A11" s="61"/>
      <c r="B11" s="52" t="str">
        <f t="shared" si="0"/>
        <v/>
      </c>
      <c r="C11" s="62"/>
      <c r="D11" s="62"/>
      <c r="E11" s="63"/>
      <c r="F11" s="62"/>
      <c r="G11" s="62"/>
      <c r="H11" s="52" t="str">
        <f t="shared" si="1"/>
        <v/>
      </c>
    </row>
    <row r="12" spans="1:8" ht="20" customHeight="1">
      <c r="A12" s="61"/>
      <c r="B12" s="52" t="str">
        <f t="shared" si="0"/>
        <v/>
      </c>
      <c r="C12" s="62"/>
      <c r="D12" s="62"/>
      <c r="E12" s="63"/>
      <c r="F12" s="62"/>
      <c r="G12" s="62"/>
      <c r="H12" s="52" t="str">
        <f t="shared" si="1"/>
        <v/>
      </c>
    </row>
    <row r="13" spans="1:8" ht="20" customHeight="1">
      <c r="A13" s="61"/>
      <c r="B13" s="52" t="str">
        <f t="shared" si="0"/>
        <v/>
      </c>
      <c r="C13" s="62"/>
      <c r="D13" s="62"/>
      <c r="E13" s="63"/>
      <c r="F13" s="62"/>
      <c r="G13" s="62"/>
      <c r="H13" s="52" t="str">
        <f t="shared" si="1"/>
        <v/>
      </c>
    </row>
    <row r="14" spans="1:8" ht="20" customHeight="1">
      <c r="A14" s="61"/>
      <c r="B14" s="52" t="str">
        <f t="shared" si="0"/>
        <v/>
      </c>
      <c r="C14" s="62"/>
      <c r="D14" s="62"/>
      <c r="E14" s="63"/>
      <c r="F14" s="62"/>
      <c r="G14" s="62"/>
      <c r="H14" s="52" t="str">
        <f t="shared" si="1"/>
        <v/>
      </c>
    </row>
    <row r="15" spans="1:8" ht="20" customHeight="1">
      <c r="A15" s="61"/>
      <c r="B15" s="52" t="str">
        <f t="shared" si="0"/>
        <v/>
      </c>
      <c r="C15" s="62"/>
      <c r="D15" s="62"/>
      <c r="E15" s="63"/>
      <c r="F15" s="62"/>
      <c r="G15" s="62"/>
      <c r="H15" s="52" t="str">
        <f t="shared" si="1"/>
        <v/>
      </c>
    </row>
    <row r="16" spans="1:8" ht="20" customHeight="1">
      <c r="A16" s="61"/>
      <c r="B16" s="52" t="str">
        <f t="shared" si="0"/>
        <v/>
      </c>
      <c r="C16" s="62"/>
      <c r="D16" s="62"/>
      <c r="E16" s="63"/>
      <c r="F16" s="62"/>
      <c r="G16" s="62"/>
      <c r="H16" s="52" t="str">
        <f t="shared" si="1"/>
        <v/>
      </c>
    </row>
    <row r="17" spans="1:8" ht="20" customHeight="1">
      <c r="A17" s="61"/>
      <c r="B17" s="52" t="str">
        <f t="shared" si="0"/>
        <v/>
      </c>
      <c r="C17" s="62"/>
      <c r="D17" s="62"/>
      <c r="E17" s="63"/>
      <c r="F17" s="62"/>
      <c r="G17" s="62"/>
      <c r="H17" s="52" t="str">
        <f t="shared" si="1"/>
        <v/>
      </c>
    </row>
    <row r="18" spans="1:8" ht="20" customHeight="1">
      <c r="A18" s="61"/>
      <c r="B18" s="52" t="str">
        <f t="shared" si="0"/>
        <v/>
      </c>
      <c r="C18" s="62"/>
      <c r="D18" s="62"/>
      <c r="E18" s="63"/>
      <c r="F18" s="62"/>
      <c r="G18" s="62"/>
      <c r="H18" s="52" t="str">
        <f t="shared" si="1"/>
        <v/>
      </c>
    </row>
    <row r="19" spans="1:8" ht="20" customHeight="1">
      <c r="A19" s="61"/>
      <c r="B19" s="52" t="str">
        <f t="shared" si="0"/>
        <v/>
      </c>
      <c r="C19" s="62"/>
      <c r="D19" s="62"/>
      <c r="E19" s="63"/>
      <c r="F19" s="62"/>
      <c r="G19" s="62"/>
      <c r="H19" s="52" t="str">
        <f t="shared" si="1"/>
        <v/>
      </c>
    </row>
    <row r="20" spans="1:8" ht="20" customHeight="1">
      <c r="A20" s="61"/>
      <c r="B20" s="52" t="str">
        <f t="shared" si="0"/>
        <v/>
      </c>
      <c r="C20" s="62"/>
      <c r="D20" s="62"/>
      <c r="E20" s="63"/>
      <c r="F20" s="62"/>
      <c r="G20" s="62"/>
      <c r="H20" s="52" t="str">
        <f t="shared" si="1"/>
        <v/>
      </c>
    </row>
    <row r="21" spans="1:8" ht="20" customHeight="1">
      <c r="A21" s="61"/>
      <c r="B21" s="52" t="str">
        <f t="shared" si="0"/>
        <v/>
      </c>
      <c r="C21" s="62"/>
      <c r="D21" s="62"/>
      <c r="E21" s="63"/>
      <c r="F21" s="62"/>
      <c r="G21" s="62"/>
      <c r="H21" s="52" t="str">
        <f t="shared" si="1"/>
        <v/>
      </c>
    </row>
    <row r="22" spans="1:8" ht="20" customHeight="1">
      <c r="A22" s="61"/>
      <c r="B22" s="52" t="str">
        <f t="shared" si="0"/>
        <v/>
      </c>
      <c r="C22" s="62"/>
      <c r="D22" s="62"/>
      <c r="E22" s="63"/>
      <c r="F22" s="62"/>
      <c r="G22" s="62"/>
      <c r="H22" s="52" t="str">
        <f t="shared" si="1"/>
        <v/>
      </c>
    </row>
    <row r="23" spans="1:8" ht="20" customHeight="1">
      <c r="A23" s="61"/>
      <c r="B23" s="52" t="str">
        <f t="shared" si="0"/>
        <v/>
      </c>
      <c r="C23" s="62"/>
      <c r="D23" s="62"/>
      <c r="E23" s="63"/>
      <c r="F23" s="62"/>
      <c r="G23" s="62"/>
      <c r="H23" s="52" t="str">
        <f t="shared" si="1"/>
        <v/>
      </c>
    </row>
    <row r="24" spans="1:8" ht="20" customHeight="1">
      <c r="A24" s="61"/>
      <c r="B24" s="52" t="str">
        <f t="shared" si="0"/>
        <v/>
      </c>
      <c r="C24" s="62"/>
      <c r="D24" s="62"/>
      <c r="E24" s="63"/>
      <c r="F24" s="62"/>
      <c r="G24" s="62"/>
      <c r="H24" s="52" t="str">
        <f t="shared" si="1"/>
        <v/>
      </c>
    </row>
    <row r="25" spans="1:8" ht="20" customHeight="1">
      <c r="A25" s="61"/>
      <c r="B25" s="52" t="str">
        <f t="shared" si="0"/>
        <v/>
      </c>
      <c r="C25" s="62"/>
      <c r="D25" s="62"/>
      <c r="E25" s="63"/>
      <c r="F25" s="62"/>
      <c r="G25" s="62"/>
      <c r="H25" s="52" t="str">
        <f t="shared" si="1"/>
        <v/>
      </c>
    </row>
    <row r="26" spans="1:8" ht="20" customHeight="1">
      <c r="A26" s="61"/>
      <c r="B26" s="52" t="str">
        <f t="shared" si="0"/>
        <v/>
      </c>
      <c r="C26" s="62"/>
      <c r="D26" s="62"/>
      <c r="E26" s="63"/>
      <c r="F26" s="62"/>
      <c r="G26" s="62"/>
      <c r="H26" s="52" t="str">
        <f t="shared" si="1"/>
        <v/>
      </c>
    </row>
    <row r="27" spans="1:8" ht="20" customHeight="1">
      <c r="A27" s="61"/>
      <c r="B27" s="52" t="str">
        <f t="shared" si="0"/>
        <v/>
      </c>
      <c r="C27" s="62"/>
      <c r="D27" s="62"/>
      <c r="E27" s="63"/>
      <c r="F27" s="62"/>
      <c r="G27" s="62"/>
      <c r="H27" s="52" t="str">
        <f t="shared" si="1"/>
        <v/>
      </c>
    </row>
    <row r="28" spans="1:8" ht="20" customHeight="1">
      <c r="A28" s="61"/>
      <c r="B28" s="52" t="str">
        <f t="shared" si="0"/>
        <v/>
      </c>
      <c r="C28" s="62"/>
      <c r="D28" s="62"/>
      <c r="E28" s="63"/>
      <c r="F28" s="62"/>
      <c r="G28" s="62"/>
      <c r="H28" s="52" t="str">
        <f t="shared" si="1"/>
        <v/>
      </c>
    </row>
    <row r="29" spans="1:8" ht="20" customHeight="1">
      <c r="A29" s="61"/>
      <c r="B29" s="52" t="str">
        <f t="shared" si="0"/>
        <v/>
      </c>
      <c r="C29" s="62"/>
      <c r="D29" s="62"/>
      <c r="E29" s="63"/>
      <c r="F29" s="62"/>
      <c r="G29" s="62"/>
      <c r="H29" s="52" t="str">
        <f t="shared" si="1"/>
        <v/>
      </c>
    </row>
    <row r="30" spans="1:8" ht="20" customHeight="1">
      <c r="A30" s="61"/>
      <c r="B30" s="52" t="str">
        <f t="shared" si="0"/>
        <v/>
      </c>
      <c r="C30" s="62"/>
      <c r="D30" s="62"/>
      <c r="E30" s="63"/>
      <c r="F30" s="62"/>
      <c r="G30" s="62"/>
      <c r="H30" s="52" t="str">
        <f t="shared" si="1"/>
        <v/>
      </c>
    </row>
    <row r="31" spans="1:8" ht="20" customHeight="1">
      <c r="A31" s="61"/>
      <c r="B31" s="52" t="str">
        <f t="shared" si="0"/>
        <v/>
      </c>
      <c r="C31" s="62"/>
      <c r="D31" s="62"/>
      <c r="E31" s="63"/>
      <c r="F31" s="62"/>
      <c r="G31" s="62"/>
      <c r="H31" s="52" t="str">
        <f t="shared" si="1"/>
        <v/>
      </c>
    </row>
    <row r="32" spans="1:8" ht="20" customHeight="1">
      <c r="A32" s="61"/>
      <c r="B32" s="52" t="str">
        <f t="shared" si="0"/>
        <v/>
      </c>
      <c r="C32" s="62"/>
      <c r="D32" s="62"/>
      <c r="E32" s="63"/>
      <c r="F32" s="62"/>
      <c r="G32" s="62"/>
      <c r="H32" s="52" t="str">
        <f t="shared" si="1"/>
        <v/>
      </c>
    </row>
    <row r="33" spans="1:8" ht="20" customHeight="1">
      <c r="A33" s="61"/>
      <c r="B33" s="52" t="str">
        <f t="shared" si="0"/>
        <v/>
      </c>
      <c r="C33" s="62"/>
      <c r="D33" s="62"/>
      <c r="E33" s="63"/>
      <c r="F33" s="62"/>
      <c r="G33" s="62"/>
      <c r="H33" s="52" t="str">
        <f t="shared" si="1"/>
        <v/>
      </c>
    </row>
    <row r="34" spans="1:8" ht="20" customHeight="1">
      <c r="A34" s="61"/>
      <c r="B34" s="52" t="str">
        <f t="shared" si="0"/>
        <v/>
      </c>
      <c r="C34" s="62"/>
      <c r="D34" s="62"/>
      <c r="E34" s="63"/>
      <c r="F34" s="62"/>
      <c r="G34" s="62"/>
      <c r="H34" s="52" t="str">
        <f t="shared" si="1"/>
        <v/>
      </c>
    </row>
    <row r="35" spans="1:8" ht="20" customHeight="1">
      <c r="A35" s="61"/>
      <c r="B35" s="52" t="str">
        <f t="shared" si="0"/>
        <v/>
      </c>
      <c r="C35" s="62"/>
      <c r="D35" s="62"/>
      <c r="E35" s="63"/>
      <c r="F35" s="62"/>
      <c r="G35" s="62"/>
      <c r="H35" s="52" t="str">
        <f t="shared" si="1"/>
        <v/>
      </c>
    </row>
    <row r="36" spans="1:8" ht="20" customHeight="1">
      <c r="A36" s="61"/>
      <c r="B36" s="52" t="str">
        <f t="shared" si="0"/>
        <v/>
      </c>
      <c r="C36" s="62"/>
      <c r="D36" s="62"/>
      <c r="E36" s="63"/>
      <c r="F36" s="62"/>
      <c r="G36" s="62"/>
      <c r="H36" s="52" t="str">
        <f t="shared" si="1"/>
        <v/>
      </c>
    </row>
    <row r="37" spans="1:8" ht="20" customHeight="1">
      <c r="A37" s="61"/>
      <c r="B37" s="52" t="str">
        <f t="shared" si="0"/>
        <v/>
      </c>
      <c r="C37" s="62"/>
      <c r="D37" s="62"/>
      <c r="E37" s="63"/>
      <c r="F37" s="62"/>
      <c r="G37" s="62"/>
      <c r="H37" s="52" t="str">
        <f t="shared" si="1"/>
        <v/>
      </c>
    </row>
    <row r="38" spans="1:8" ht="20" customHeight="1">
      <c r="A38" s="61"/>
      <c r="B38" s="52" t="str">
        <f t="shared" si="0"/>
        <v/>
      </c>
      <c r="C38" s="62"/>
      <c r="D38" s="62"/>
      <c r="E38" s="63"/>
      <c r="F38" s="62"/>
      <c r="G38" s="62"/>
      <c r="H38" s="52" t="str">
        <f t="shared" si="1"/>
        <v/>
      </c>
    </row>
    <row r="39" spans="1:8" ht="20" customHeight="1">
      <c r="A39" s="61"/>
      <c r="B39" s="52" t="str">
        <f t="shared" ref="B39:B70" si="2">IF(A39="","",MONTH(A39))</f>
        <v/>
      </c>
      <c r="C39" s="62"/>
      <c r="D39" s="62"/>
      <c r="E39" s="63"/>
      <c r="F39" s="62"/>
      <c r="G39" s="62"/>
      <c r="H39" s="52" t="str">
        <f t="shared" ref="H39:H70" si="3">IF(A39="","",YEAR(A39))</f>
        <v/>
      </c>
    </row>
    <row r="40" spans="1:8" ht="20" customHeight="1">
      <c r="A40" s="61"/>
      <c r="B40" s="52" t="str">
        <f t="shared" si="2"/>
        <v/>
      </c>
      <c r="C40" s="62"/>
      <c r="D40" s="62"/>
      <c r="E40" s="63"/>
      <c r="F40" s="62"/>
      <c r="G40" s="62"/>
      <c r="H40" s="52" t="str">
        <f t="shared" si="3"/>
        <v/>
      </c>
    </row>
    <row r="41" spans="1:8" ht="20" customHeight="1">
      <c r="A41" s="61"/>
      <c r="B41" s="52" t="str">
        <f t="shared" si="2"/>
        <v/>
      </c>
      <c r="C41" s="62"/>
      <c r="D41" s="62"/>
      <c r="E41" s="63"/>
      <c r="F41" s="62"/>
      <c r="G41" s="62"/>
      <c r="H41" s="52" t="str">
        <f t="shared" si="3"/>
        <v/>
      </c>
    </row>
    <row r="42" spans="1:8" ht="20" customHeight="1">
      <c r="A42" s="61"/>
      <c r="B42" s="52" t="str">
        <f t="shared" si="2"/>
        <v/>
      </c>
      <c r="C42" s="62"/>
      <c r="D42" s="62"/>
      <c r="E42" s="63"/>
      <c r="F42" s="62"/>
      <c r="G42" s="62"/>
      <c r="H42" s="52" t="str">
        <f t="shared" si="3"/>
        <v/>
      </c>
    </row>
    <row r="43" spans="1:8" ht="20" customHeight="1">
      <c r="A43" s="61"/>
      <c r="B43" s="52" t="str">
        <f t="shared" si="2"/>
        <v/>
      </c>
      <c r="C43" s="62"/>
      <c r="D43" s="62"/>
      <c r="E43" s="63"/>
      <c r="F43" s="62"/>
      <c r="G43" s="62"/>
      <c r="H43" s="52" t="str">
        <f t="shared" si="3"/>
        <v/>
      </c>
    </row>
    <row r="44" spans="1:8" ht="20" customHeight="1">
      <c r="A44" s="61"/>
      <c r="B44" s="52" t="str">
        <f t="shared" si="2"/>
        <v/>
      </c>
      <c r="C44" s="62"/>
      <c r="D44" s="62"/>
      <c r="E44" s="63"/>
      <c r="F44" s="62"/>
      <c r="G44" s="62"/>
      <c r="H44" s="52" t="str">
        <f t="shared" si="3"/>
        <v/>
      </c>
    </row>
    <row r="45" spans="1:8" ht="20" customHeight="1">
      <c r="A45" s="61"/>
      <c r="B45" s="52" t="str">
        <f t="shared" si="2"/>
        <v/>
      </c>
      <c r="C45" s="62"/>
      <c r="D45" s="62"/>
      <c r="E45" s="63"/>
      <c r="F45" s="62"/>
      <c r="G45" s="62"/>
      <c r="H45" s="52" t="str">
        <f t="shared" si="3"/>
        <v/>
      </c>
    </row>
    <row r="46" spans="1:8" ht="20" customHeight="1">
      <c r="A46" s="61"/>
      <c r="B46" s="52" t="str">
        <f t="shared" si="2"/>
        <v/>
      </c>
      <c r="C46" s="62"/>
      <c r="D46" s="62"/>
      <c r="E46" s="63"/>
      <c r="F46" s="62"/>
      <c r="G46" s="62"/>
      <c r="H46" s="52" t="str">
        <f t="shared" si="3"/>
        <v/>
      </c>
    </row>
    <row r="47" spans="1:8" ht="20" customHeight="1">
      <c r="A47" s="61"/>
      <c r="B47" s="52" t="str">
        <f t="shared" si="2"/>
        <v/>
      </c>
      <c r="C47" s="62"/>
      <c r="D47" s="62"/>
      <c r="E47" s="63"/>
      <c r="F47" s="62"/>
      <c r="G47" s="62"/>
      <c r="H47" s="52" t="str">
        <f t="shared" si="3"/>
        <v/>
      </c>
    </row>
    <row r="48" spans="1:8" ht="20" customHeight="1">
      <c r="A48" s="61"/>
      <c r="B48" s="52" t="str">
        <f t="shared" si="2"/>
        <v/>
      </c>
      <c r="C48" s="62"/>
      <c r="D48" s="62"/>
      <c r="E48" s="63"/>
      <c r="F48" s="62"/>
      <c r="G48" s="62"/>
      <c r="H48" s="52" t="str">
        <f t="shared" si="3"/>
        <v/>
      </c>
    </row>
    <row r="49" spans="1:8" ht="20" customHeight="1">
      <c r="A49" s="61"/>
      <c r="B49" s="52" t="str">
        <f t="shared" si="2"/>
        <v/>
      </c>
      <c r="C49" s="62"/>
      <c r="D49" s="62"/>
      <c r="E49" s="63"/>
      <c r="F49" s="62"/>
      <c r="G49" s="62"/>
      <c r="H49" s="52" t="str">
        <f t="shared" si="3"/>
        <v/>
      </c>
    </row>
    <row r="50" spans="1:8" ht="20" customHeight="1">
      <c r="A50" s="61"/>
      <c r="B50" s="52" t="str">
        <f t="shared" si="2"/>
        <v/>
      </c>
      <c r="C50" s="62"/>
      <c r="D50" s="62"/>
      <c r="E50" s="63"/>
      <c r="F50" s="62"/>
      <c r="G50" s="62"/>
      <c r="H50" s="52" t="str">
        <f t="shared" si="3"/>
        <v/>
      </c>
    </row>
    <row r="51" spans="1:8" ht="20" customHeight="1">
      <c r="A51" s="61"/>
      <c r="B51" s="52" t="str">
        <f t="shared" si="2"/>
        <v/>
      </c>
      <c r="C51" s="62"/>
      <c r="D51" s="62"/>
      <c r="E51" s="63"/>
      <c r="F51" s="62"/>
      <c r="G51" s="62"/>
      <c r="H51" s="52" t="str">
        <f t="shared" si="3"/>
        <v/>
      </c>
    </row>
    <row r="52" spans="1:8" ht="20" customHeight="1">
      <c r="A52" s="61"/>
      <c r="B52" s="52" t="str">
        <f t="shared" si="2"/>
        <v/>
      </c>
      <c r="C52" s="62"/>
      <c r="D52" s="62"/>
      <c r="E52" s="63"/>
      <c r="F52" s="62"/>
      <c r="G52" s="62"/>
      <c r="H52" s="52" t="str">
        <f t="shared" si="3"/>
        <v/>
      </c>
    </row>
    <row r="53" spans="1:8" ht="20" customHeight="1">
      <c r="A53" s="61"/>
      <c r="B53" s="52" t="str">
        <f t="shared" si="2"/>
        <v/>
      </c>
      <c r="C53" s="62"/>
      <c r="D53" s="62"/>
      <c r="E53" s="63"/>
      <c r="F53" s="62"/>
      <c r="G53" s="62"/>
      <c r="H53" s="52" t="str">
        <f t="shared" si="3"/>
        <v/>
      </c>
    </row>
    <row r="54" spans="1:8" ht="20" customHeight="1">
      <c r="A54" s="61"/>
      <c r="B54" s="52" t="str">
        <f t="shared" si="2"/>
        <v/>
      </c>
      <c r="C54" s="62"/>
      <c r="D54" s="62"/>
      <c r="E54" s="63"/>
      <c r="F54" s="62"/>
      <c r="G54" s="62"/>
      <c r="H54" s="52" t="str">
        <f t="shared" si="3"/>
        <v/>
      </c>
    </row>
    <row r="55" spans="1:8" ht="20" customHeight="1">
      <c r="A55" s="61"/>
      <c r="B55" s="52" t="str">
        <f t="shared" si="2"/>
        <v/>
      </c>
      <c r="C55" s="62"/>
      <c r="D55" s="62"/>
      <c r="E55" s="63"/>
      <c r="F55" s="62"/>
      <c r="G55" s="62"/>
      <c r="H55" s="52" t="str">
        <f t="shared" si="3"/>
        <v/>
      </c>
    </row>
    <row r="56" spans="1:8" ht="20" customHeight="1">
      <c r="A56" s="61"/>
      <c r="B56" s="52" t="str">
        <f t="shared" si="2"/>
        <v/>
      </c>
      <c r="C56" s="62"/>
      <c r="D56" s="62"/>
      <c r="E56" s="63"/>
      <c r="F56" s="62"/>
      <c r="G56" s="62"/>
      <c r="H56" s="52" t="str">
        <f t="shared" si="3"/>
        <v/>
      </c>
    </row>
    <row r="57" spans="1:8" ht="20" customHeight="1">
      <c r="A57" s="61"/>
      <c r="B57" s="52" t="str">
        <f t="shared" si="2"/>
        <v/>
      </c>
      <c r="C57" s="62"/>
      <c r="D57" s="62"/>
      <c r="E57" s="63"/>
      <c r="F57" s="62"/>
      <c r="G57" s="62"/>
      <c r="H57" s="52" t="str">
        <f t="shared" si="3"/>
        <v/>
      </c>
    </row>
    <row r="58" spans="1:8" ht="20" customHeight="1">
      <c r="A58" s="61"/>
      <c r="B58" s="52" t="str">
        <f t="shared" si="2"/>
        <v/>
      </c>
      <c r="C58" s="62"/>
      <c r="D58" s="62"/>
      <c r="E58" s="63"/>
      <c r="F58" s="62"/>
      <c r="G58" s="62"/>
      <c r="H58" s="52" t="str">
        <f t="shared" si="3"/>
        <v/>
      </c>
    </row>
    <row r="59" spans="1:8" ht="20" customHeight="1">
      <c r="A59" s="61"/>
      <c r="B59" s="52" t="str">
        <f t="shared" si="2"/>
        <v/>
      </c>
      <c r="C59" s="62"/>
      <c r="D59" s="62"/>
      <c r="E59" s="63"/>
      <c r="F59" s="62"/>
      <c r="G59" s="62"/>
      <c r="H59" s="52" t="str">
        <f t="shared" si="3"/>
        <v/>
      </c>
    </row>
    <row r="60" spans="1:8" ht="20" customHeight="1">
      <c r="A60" s="61"/>
      <c r="B60" s="52" t="str">
        <f t="shared" si="2"/>
        <v/>
      </c>
      <c r="C60" s="62"/>
      <c r="D60" s="62"/>
      <c r="E60" s="63"/>
      <c r="F60" s="62"/>
      <c r="G60" s="62"/>
      <c r="H60" s="52" t="str">
        <f t="shared" si="3"/>
        <v/>
      </c>
    </row>
    <row r="61" spans="1:8" ht="20" customHeight="1">
      <c r="A61" s="61"/>
      <c r="B61" s="52" t="str">
        <f t="shared" si="2"/>
        <v/>
      </c>
      <c r="C61" s="62"/>
      <c r="D61" s="62"/>
      <c r="E61" s="63"/>
      <c r="F61" s="62"/>
      <c r="G61" s="62"/>
      <c r="H61" s="52" t="str">
        <f t="shared" si="3"/>
        <v/>
      </c>
    </row>
    <row r="62" spans="1:8" ht="20" customHeight="1">
      <c r="A62" s="61"/>
      <c r="B62" s="52" t="str">
        <f t="shared" si="2"/>
        <v/>
      </c>
      <c r="C62" s="62"/>
      <c r="D62" s="62"/>
      <c r="E62" s="63"/>
      <c r="F62" s="62"/>
      <c r="G62" s="62"/>
      <c r="H62" s="52" t="str">
        <f t="shared" si="3"/>
        <v/>
      </c>
    </row>
    <row r="63" spans="1:8" ht="20" customHeight="1">
      <c r="A63" s="61"/>
      <c r="B63" s="52" t="str">
        <f t="shared" si="2"/>
        <v/>
      </c>
      <c r="C63" s="62"/>
      <c r="D63" s="62"/>
      <c r="E63" s="63"/>
      <c r="F63" s="62"/>
      <c r="G63" s="62"/>
      <c r="H63" s="52" t="str">
        <f t="shared" si="3"/>
        <v/>
      </c>
    </row>
    <row r="64" spans="1:8" ht="20" customHeight="1">
      <c r="A64" s="61"/>
      <c r="B64" s="52" t="str">
        <f t="shared" si="2"/>
        <v/>
      </c>
      <c r="C64" s="62"/>
      <c r="D64" s="62"/>
      <c r="E64" s="63"/>
      <c r="F64" s="62"/>
      <c r="G64" s="62"/>
      <c r="H64" s="52" t="str">
        <f t="shared" si="3"/>
        <v/>
      </c>
    </row>
    <row r="65" spans="1:8" ht="20" customHeight="1">
      <c r="A65" s="61"/>
      <c r="B65" s="52" t="str">
        <f t="shared" si="2"/>
        <v/>
      </c>
      <c r="C65" s="62"/>
      <c r="D65" s="62"/>
      <c r="E65" s="63"/>
      <c r="F65" s="62"/>
      <c r="G65" s="62"/>
      <c r="H65" s="52" t="str">
        <f t="shared" si="3"/>
        <v/>
      </c>
    </row>
    <row r="66" spans="1:8" ht="20" customHeight="1">
      <c r="A66" s="61"/>
      <c r="B66" s="52" t="str">
        <f t="shared" si="2"/>
        <v/>
      </c>
      <c r="C66" s="62"/>
      <c r="D66" s="62"/>
      <c r="E66" s="63"/>
      <c r="F66" s="62"/>
      <c r="G66" s="62"/>
      <c r="H66" s="52" t="str">
        <f t="shared" si="3"/>
        <v/>
      </c>
    </row>
    <row r="67" spans="1:8" ht="20" customHeight="1">
      <c r="A67" s="61"/>
      <c r="B67" s="52" t="str">
        <f t="shared" si="2"/>
        <v/>
      </c>
      <c r="C67" s="62"/>
      <c r="D67" s="62"/>
      <c r="E67" s="63"/>
      <c r="F67" s="62"/>
      <c r="G67" s="62"/>
      <c r="H67" s="52" t="str">
        <f t="shared" si="3"/>
        <v/>
      </c>
    </row>
    <row r="68" spans="1:8" ht="20" customHeight="1">
      <c r="A68" s="61"/>
      <c r="B68" s="52" t="str">
        <f t="shared" si="2"/>
        <v/>
      </c>
      <c r="C68" s="62"/>
      <c r="D68" s="62"/>
      <c r="E68" s="63"/>
      <c r="F68" s="62"/>
      <c r="G68" s="62"/>
      <c r="H68" s="52" t="str">
        <f t="shared" si="3"/>
        <v/>
      </c>
    </row>
    <row r="69" spans="1:8" ht="20" customHeight="1">
      <c r="A69" s="61"/>
      <c r="B69" s="52" t="str">
        <f t="shared" si="2"/>
        <v/>
      </c>
      <c r="C69" s="62"/>
      <c r="D69" s="62"/>
      <c r="E69" s="63"/>
      <c r="F69" s="62"/>
      <c r="G69" s="62"/>
      <c r="H69" s="52" t="str">
        <f t="shared" si="3"/>
        <v/>
      </c>
    </row>
    <row r="70" spans="1:8" ht="20" customHeight="1">
      <c r="A70" s="61"/>
      <c r="B70" s="52" t="str">
        <f t="shared" si="2"/>
        <v/>
      </c>
      <c r="C70" s="62"/>
      <c r="D70" s="62"/>
      <c r="E70" s="63"/>
      <c r="F70" s="62"/>
      <c r="G70" s="62"/>
      <c r="H70" s="52" t="str">
        <f t="shared" si="3"/>
        <v/>
      </c>
    </row>
    <row r="71" spans="1:8" ht="20" customHeight="1">
      <c r="A71" s="61"/>
      <c r="B71" s="52" t="str">
        <f t="shared" ref="B71:B102" si="4">IF(A71="","",MONTH(A71))</f>
        <v/>
      </c>
      <c r="C71" s="62"/>
      <c r="D71" s="62"/>
      <c r="E71" s="63"/>
      <c r="F71" s="62"/>
      <c r="G71" s="62"/>
      <c r="H71" s="52" t="str">
        <f t="shared" ref="H71:H102" si="5">IF(A71="","",YEAR(A71))</f>
        <v/>
      </c>
    </row>
    <row r="72" spans="1:8" ht="20" customHeight="1">
      <c r="A72" s="61"/>
      <c r="B72" s="52" t="str">
        <f t="shared" si="4"/>
        <v/>
      </c>
      <c r="C72" s="62"/>
      <c r="D72" s="62"/>
      <c r="E72" s="63"/>
      <c r="F72" s="62"/>
      <c r="G72" s="62"/>
      <c r="H72" s="52" t="str">
        <f t="shared" si="5"/>
        <v/>
      </c>
    </row>
    <row r="73" spans="1:8" ht="20" customHeight="1">
      <c r="A73" s="61"/>
      <c r="B73" s="52" t="str">
        <f t="shared" si="4"/>
        <v/>
      </c>
      <c r="C73" s="62"/>
      <c r="D73" s="62"/>
      <c r="E73" s="63"/>
      <c r="F73" s="62"/>
      <c r="G73" s="62"/>
      <c r="H73" s="52" t="str">
        <f t="shared" si="5"/>
        <v/>
      </c>
    </row>
    <row r="74" spans="1:8" ht="20" customHeight="1">
      <c r="A74" s="61"/>
      <c r="B74" s="52" t="str">
        <f t="shared" si="4"/>
        <v/>
      </c>
      <c r="C74" s="62"/>
      <c r="D74" s="62"/>
      <c r="E74" s="63"/>
      <c r="F74" s="62"/>
      <c r="G74" s="62"/>
      <c r="H74" s="52" t="str">
        <f t="shared" si="5"/>
        <v/>
      </c>
    </row>
    <row r="75" spans="1:8" ht="20" customHeight="1">
      <c r="A75" s="61"/>
      <c r="B75" s="52" t="str">
        <f t="shared" si="4"/>
        <v/>
      </c>
      <c r="C75" s="62"/>
      <c r="D75" s="62"/>
      <c r="E75" s="63"/>
      <c r="F75" s="62"/>
      <c r="G75" s="62"/>
      <c r="H75" s="52" t="str">
        <f t="shared" si="5"/>
        <v/>
      </c>
    </row>
    <row r="76" spans="1:8" ht="20" customHeight="1">
      <c r="A76" s="61"/>
      <c r="B76" s="52" t="str">
        <f t="shared" si="4"/>
        <v/>
      </c>
      <c r="C76" s="62"/>
      <c r="D76" s="62"/>
      <c r="E76" s="63"/>
      <c r="F76" s="62"/>
      <c r="G76" s="62"/>
      <c r="H76" s="52" t="str">
        <f t="shared" si="5"/>
        <v/>
      </c>
    </row>
    <row r="77" spans="1:8" ht="20" customHeight="1">
      <c r="A77" s="61"/>
      <c r="B77" s="52" t="str">
        <f t="shared" si="4"/>
        <v/>
      </c>
      <c r="C77" s="62"/>
      <c r="D77" s="62"/>
      <c r="E77" s="63"/>
      <c r="F77" s="62"/>
      <c r="G77" s="62"/>
      <c r="H77" s="52" t="str">
        <f t="shared" si="5"/>
        <v/>
      </c>
    </row>
    <row r="78" spans="1:8" ht="20" customHeight="1">
      <c r="A78" s="61"/>
      <c r="B78" s="52" t="str">
        <f t="shared" si="4"/>
        <v/>
      </c>
      <c r="C78" s="62"/>
      <c r="D78" s="62"/>
      <c r="E78" s="63"/>
      <c r="F78" s="62"/>
      <c r="G78" s="62"/>
      <c r="H78" s="52" t="str">
        <f t="shared" si="5"/>
        <v/>
      </c>
    </row>
    <row r="79" spans="1:8" ht="20" customHeight="1">
      <c r="A79" s="61"/>
      <c r="B79" s="52" t="str">
        <f t="shared" si="4"/>
        <v/>
      </c>
      <c r="C79" s="62"/>
      <c r="D79" s="62"/>
      <c r="E79" s="63"/>
      <c r="F79" s="62"/>
      <c r="G79" s="62"/>
      <c r="H79" s="52" t="str">
        <f t="shared" si="5"/>
        <v/>
      </c>
    </row>
    <row r="80" spans="1:8" ht="20" customHeight="1">
      <c r="A80" s="61"/>
      <c r="B80" s="52" t="str">
        <f t="shared" si="4"/>
        <v/>
      </c>
      <c r="C80" s="62"/>
      <c r="D80" s="62"/>
      <c r="E80" s="63"/>
      <c r="F80" s="62"/>
      <c r="G80" s="62"/>
      <c r="H80" s="52" t="str">
        <f t="shared" si="5"/>
        <v/>
      </c>
    </row>
    <row r="81" spans="1:8" ht="20" customHeight="1">
      <c r="A81" s="61"/>
      <c r="B81" s="52" t="str">
        <f t="shared" si="4"/>
        <v/>
      </c>
      <c r="C81" s="62"/>
      <c r="D81" s="62"/>
      <c r="E81" s="63"/>
      <c r="F81" s="62"/>
      <c r="G81" s="62"/>
      <c r="H81" s="52" t="str">
        <f t="shared" si="5"/>
        <v/>
      </c>
    </row>
    <row r="82" spans="1:8" ht="20" customHeight="1">
      <c r="A82" s="61"/>
      <c r="B82" s="52" t="str">
        <f t="shared" si="4"/>
        <v/>
      </c>
      <c r="C82" s="62"/>
      <c r="D82" s="62"/>
      <c r="E82" s="63"/>
      <c r="F82" s="62"/>
      <c r="G82" s="62"/>
      <c r="H82" s="52" t="str">
        <f t="shared" si="5"/>
        <v/>
      </c>
    </row>
    <row r="83" spans="1:8" ht="20" customHeight="1">
      <c r="A83" s="61"/>
      <c r="B83" s="52" t="str">
        <f t="shared" si="4"/>
        <v/>
      </c>
      <c r="C83" s="62"/>
      <c r="D83" s="62"/>
      <c r="E83" s="63"/>
      <c r="F83" s="62"/>
      <c r="G83" s="62"/>
      <c r="H83" s="52" t="str">
        <f t="shared" si="5"/>
        <v/>
      </c>
    </row>
    <row r="84" spans="1:8" ht="20" customHeight="1">
      <c r="A84" s="61"/>
      <c r="B84" s="52" t="str">
        <f t="shared" si="4"/>
        <v/>
      </c>
      <c r="C84" s="62"/>
      <c r="D84" s="62"/>
      <c r="E84" s="63"/>
      <c r="F84" s="62"/>
      <c r="G84" s="62"/>
      <c r="H84" s="52" t="str">
        <f t="shared" si="5"/>
        <v/>
      </c>
    </row>
    <row r="85" spans="1:8" ht="20" customHeight="1">
      <c r="A85" s="61"/>
      <c r="B85" s="52" t="str">
        <f t="shared" si="4"/>
        <v/>
      </c>
      <c r="C85" s="62"/>
      <c r="D85" s="62"/>
      <c r="E85" s="63"/>
      <c r="F85" s="62"/>
      <c r="G85" s="62"/>
      <c r="H85" s="52" t="str">
        <f t="shared" si="5"/>
        <v/>
      </c>
    </row>
    <row r="86" spans="1:8" ht="20" customHeight="1">
      <c r="A86" s="61"/>
      <c r="B86" s="52" t="str">
        <f t="shared" si="4"/>
        <v/>
      </c>
      <c r="C86" s="62"/>
      <c r="D86" s="62"/>
      <c r="E86" s="63"/>
      <c r="F86" s="62"/>
      <c r="G86" s="62"/>
      <c r="H86" s="52" t="str">
        <f t="shared" si="5"/>
        <v/>
      </c>
    </row>
    <row r="87" spans="1:8" ht="20" customHeight="1">
      <c r="A87" s="61"/>
      <c r="B87" s="52" t="str">
        <f t="shared" si="4"/>
        <v/>
      </c>
      <c r="C87" s="62"/>
      <c r="D87" s="62"/>
      <c r="E87" s="63"/>
      <c r="F87" s="62"/>
      <c r="G87" s="62"/>
      <c r="H87" s="52" t="str">
        <f t="shared" si="5"/>
        <v/>
      </c>
    </row>
    <row r="88" spans="1:8" ht="20" customHeight="1">
      <c r="A88" s="61"/>
      <c r="B88" s="52" t="str">
        <f t="shared" si="4"/>
        <v/>
      </c>
      <c r="C88" s="62"/>
      <c r="D88" s="62"/>
      <c r="E88" s="63"/>
      <c r="F88" s="62"/>
      <c r="G88" s="62"/>
      <c r="H88" s="52" t="str">
        <f t="shared" si="5"/>
        <v/>
      </c>
    </row>
    <row r="89" spans="1:8" ht="20" customHeight="1">
      <c r="A89" s="61"/>
      <c r="B89" s="52" t="str">
        <f t="shared" si="4"/>
        <v/>
      </c>
      <c r="C89" s="62"/>
      <c r="D89" s="62"/>
      <c r="E89" s="63"/>
      <c r="F89" s="62"/>
      <c r="G89" s="62"/>
      <c r="H89" s="52" t="str">
        <f t="shared" si="5"/>
        <v/>
      </c>
    </row>
    <row r="90" spans="1:8" ht="20" customHeight="1">
      <c r="A90" s="61"/>
      <c r="B90" s="52" t="str">
        <f t="shared" si="4"/>
        <v/>
      </c>
      <c r="C90" s="62"/>
      <c r="D90" s="62"/>
      <c r="E90" s="63"/>
      <c r="F90" s="62"/>
      <c r="G90" s="62"/>
      <c r="H90" s="52" t="str">
        <f t="shared" si="5"/>
        <v/>
      </c>
    </row>
    <row r="91" spans="1:8" ht="20" customHeight="1">
      <c r="A91" s="61"/>
      <c r="B91" s="52" t="str">
        <f t="shared" si="4"/>
        <v/>
      </c>
      <c r="C91" s="62"/>
      <c r="D91" s="62"/>
      <c r="E91" s="63"/>
      <c r="F91" s="62"/>
      <c r="G91" s="62"/>
      <c r="H91" s="52" t="str">
        <f t="shared" si="5"/>
        <v/>
      </c>
    </row>
    <row r="92" spans="1:8" ht="20" customHeight="1">
      <c r="A92" s="61"/>
      <c r="B92" s="52" t="str">
        <f t="shared" si="4"/>
        <v/>
      </c>
      <c r="C92" s="62"/>
      <c r="D92" s="62"/>
      <c r="E92" s="63"/>
      <c r="F92" s="62"/>
      <c r="G92" s="62"/>
      <c r="H92" s="52" t="str">
        <f t="shared" si="5"/>
        <v/>
      </c>
    </row>
    <row r="93" spans="1:8" ht="20" customHeight="1">
      <c r="A93" s="61"/>
      <c r="B93" s="52" t="str">
        <f t="shared" si="4"/>
        <v/>
      </c>
      <c r="C93" s="62"/>
      <c r="D93" s="62"/>
      <c r="E93" s="63"/>
      <c r="F93" s="62"/>
      <c r="G93" s="62"/>
      <c r="H93" s="52" t="str">
        <f t="shared" si="5"/>
        <v/>
      </c>
    </row>
    <row r="94" spans="1:8" ht="20" customHeight="1">
      <c r="A94" s="61"/>
      <c r="B94" s="52" t="str">
        <f t="shared" si="4"/>
        <v/>
      </c>
      <c r="C94" s="62"/>
      <c r="D94" s="62"/>
      <c r="E94" s="63"/>
      <c r="F94" s="62"/>
      <c r="G94" s="62"/>
      <c r="H94" s="52" t="str">
        <f t="shared" si="5"/>
        <v/>
      </c>
    </row>
    <row r="95" spans="1:8" ht="20" customHeight="1">
      <c r="A95" s="61"/>
      <c r="B95" s="52" t="str">
        <f t="shared" si="4"/>
        <v/>
      </c>
      <c r="C95" s="62"/>
      <c r="D95" s="62"/>
      <c r="E95" s="63"/>
      <c r="F95" s="62"/>
      <c r="G95" s="62"/>
      <c r="H95" s="52" t="str">
        <f t="shared" si="5"/>
        <v/>
      </c>
    </row>
    <row r="96" spans="1:8" ht="20" customHeight="1">
      <c r="A96" s="61"/>
      <c r="B96" s="52" t="str">
        <f t="shared" si="4"/>
        <v/>
      </c>
      <c r="C96" s="62"/>
      <c r="D96" s="62"/>
      <c r="E96" s="63"/>
      <c r="F96" s="62"/>
      <c r="G96" s="62"/>
      <c r="H96" s="52" t="str">
        <f t="shared" si="5"/>
        <v/>
      </c>
    </row>
    <row r="97" spans="1:8" ht="20" customHeight="1">
      <c r="A97" s="61"/>
      <c r="B97" s="52" t="str">
        <f t="shared" si="4"/>
        <v/>
      </c>
      <c r="C97" s="62"/>
      <c r="D97" s="62"/>
      <c r="E97" s="63"/>
      <c r="F97" s="62"/>
      <c r="G97" s="62"/>
      <c r="H97" s="52" t="str">
        <f t="shared" si="5"/>
        <v/>
      </c>
    </row>
    <row r="98" spans="1:8" ht="20" customHeight="1">
      <c r="A98" s="61"/>
      <c r="B98" s="52" t="str">
        <f t="shared" si="4"/>
        <v/>
      </c>
      <c r="C98" s="62"/>
      <c r="D98" s="62"/>
      <c r="E98" s="63"/>
      <c r="F98" s="62"/>
      <c r="G98" s="62"/>
      <c r="H98" s="52" t="str">
        <f t="shared" si="5"/>
        <v/>
      </c>
    </row>
    <row r="99" spans="1:8" ht="20" customHeight="1">
      <c r="A99" s="61"/>
      <c r="B99" s="52" t="str">
        <f t="shared" si="4"/>
        <v/>
      </c>
      <c r="C99" s="62"/>
      <c r="D99" s="62"/>
      <c r="E99" s="63"/>
      <c r="F99" s="62"/>
      <c r="G99" s="62"/>
      <c r="H99" s="52" t="str">
        <f t="shared" si="5"/>
        <v/>
      </c>
    </row>
    <row r="100" spans="1:8" ht="20" customHeight="1">
      <c r="A100" s="61"/>
      <c r="B100" s="52" t="str">
        <f t="shared" si="4"/>
        <v/>
      </c>
      <c r="C100" s="62"/>
      <c r="D100" s="62"/>
      <c r="E100" s="63"/>
      <c r="F100" s="62"/>
      <c r="G100" s="62"/>
      <c r="H100" s="52" t="str">
        <f t="shared" si="5"/>
        <v/>
      </c>
    </row>
    <row r="101" spans="1:8" ht="20" customHeight="1">
      <c r="A101" s="61"/>
      <c r="B101" s="52" t="str">
        <f t="shared" si="4"/>
        <v/>
      </c>
      <c r="C101" s="62"/>
      <c r="D101" s="62"/>
      <c r="E101" s="63"/>
      <c r="F101" s="62"/>
      <c r="G101" s="62"/>
      <c r="H101" s="52" t="str">
        <f t="shared" si="5"/>
        <v/>
      </c>
    </row>
    <row r="102" spans="1:8" ht="20" customHeight="1">
      <c r="A102" s="61"/>
      <c r="B102" s="52" t="str">
        <f t="shared" si="4"/>
        <v/>
      </c>
      <c r="C102" s="62"/>
      <c r="D102" s="62"/>
      <c r="E102" s="63"/>
      <c r="F102" s="62"/>
      <c r="G102" s="62"/>
      <c r="H102" s="52" t="str">
        <f t="shared" si="5"/>
        <v/>
      </c>
    </row>
    <row r="103" spans="1:8" ht="20" customHeight="1">
      <c r="A103" s="61"/>
      <c r="B103" s="52" t="str">
        <f t="shared" ref="B103:B134" si="6">IF(A103="","",MONTH(A103))</f>
        <v/>
      </c>
      <c r="C103" s="62"/>
      <c r="D103" s="62"/>
      <c r="E103" s="63"/>
      <c r="F103" s="62"/>
      <c r="G103" s="62"/>
      <c r="H103" s="52" t="str">
        <f t="shared" ref="H103:H134" si="7">IF(A103="","",YEAR(A103))</f>
        <v/>
      </c>
    </row>
    <row r="104" spans="1:8" ht="20" customHeight="1">
      <c r="A104" s="61"/>
      <c r="B104" s="52" t="str">
        <f t="shared" si="6"/>
        <v/>
      </c>
      <c r="C104" s="62"/>
      <c r="D104" s="62"/>
      <c r="E104" s="63"/>
      <c r="F104" s="62"/>
      <c r="G104" s="62"/>
      <c r="H104" s="52" t="str">
        <f t="shared" si="7"/>
        <v/>
      </c>
    </row>
    <row r="105" spans="1:8" ht="20" customHeight="1">
      <c r="A105" s="61"/>
      <c r="B105" s="52" t="str">
        <f t="shared" si="6"/>
        <v/>
      </c>
      <c r="C105" s="62"/>
      <c r="D105" s="62"/>
      <c r="E105" s="63"/>
      <c r="F105" s="62"/>
      <c r="G105" s="62"/>
      <c r="H105" s="52" t="str">
        <f t="shared" si="7"/>
        <v/>
      </c>
    </row>
    <row r="106" spans="1:8" ht="20" customHeight="1">
      <c r="A106" s="61"/>
      <c r="B106" s="52" t="str">
        <f t="shared" si="6"/>
        <v/>
      </c>
      <c r="C106" s="62"/>
      <c r="D106" s="62"/>
      <c r="E106" s="63"/>
      <c r="F106" s="62"/>
      <c r="G106" s="62"/>
      <c r="H106" s="52" t="str">
        <f t="shared" si="7"/>
        <v/>
      </c>
    </row>
    <row r="107" spans="1:8" ht="20" customHeight="1">
      <c r="A107" s="61"/>
      <c r="B107" s="52" t="str">
        <f t="shared" si="6"/>
        <v/>
      </c>
      <c r="C107" s="62"/>
      <c r="D107" s="62"/>
      <c r="E107" s="63"/>
      <c r="F107" s="62"/>
      <c r="G107" s="62"/>
      <c r="H107" s="52" t="str">
        <f t="shared" si="7"/>
        <v/>
      </c>
    </row>
    <row r="108" spans="1:8" ht="20" customHeight="1">
      <c r="A108" s="61"/>
      <c r="B108" s="52" t="str">
        <f t="shared" si="6"/>
        <v/>
      </c>
      <c r="C108" s="62"/>
      <c r="D108" s="62"/>
      <c r="E108" s="63"/>
      <c r="F108" s="62"/>
      <c r="G108" s="62"/>
      <c r="H108" s="52" t="str">
        <f t="shared" si="7"/>
        <v/>
      </c>
    </row>
    <row r="109" spans="1:8" ht="20" customHeight="1">
      <c r="A109" s="61"/>
      <c r="B109" s="52" t="str">
        <f t="shared" si="6"/>
        <v/>
      </c>
      <c r="C109" s="62"/>
      <c r="D109" s="62"/>
      <c r="E109" s="63"/>
      <c r="F109" s="62"/>
      <c r="G109" s="62"/>
      <c r="H109" s="52" t="str">
        <f t="shared" si="7"/>
        <v/>
      </c>
    </row>
    <row r="110" spans="1:8" ht="20" customHeight="1">
      <c r="A110" s="61"/>
      <c r="B110" s="52" t="str">
        <f t="shared" si="6"/>
        <v/>
      </c>
      <c r="C110" s="62"/>
      <c r="D110" s="62"/>
      <c r="E110" s="63"/>
      <c r="F110" s="62"/>
      <c r="G110" s="62"/>
      <c r="H110" s="52" t="str">
        <f t="shared" si="7"/>
        <v/>
      </c>
    </row>
    <row r="111" spans="1:8" ht="20" customHeight="1">
      <c r="A111" s="61"/>
      <c r="B111" s="52" t="str">
        <f t="shared" si="6"/>
        <v/>
      </c>
      <c r="C111" s="62"/>
      <c r="D111" s="62"/>
      <c r="E111" s="63"/>
      <c r="F111" s="62"/>
      <c r="G111" s="62"/>
      <c r="H111" s="52" t="str">
        <f t="shared" si="7"/>
        <v/>
      </c>
    </row>
    <row r="112" spans="1:8" ht="20" customHeight="1">
      <c r="A112" s="61"/>
      <c r="B112" s="52" t="str">
        <f t="shared" si="6"/>
        <v/>
      </c>
      <c r="C112" s="62"/>
      <c r="D112" s="62"/>
      <c r="E112" s="63"/>
      <c r="F112" s="62"/>
      <c r="G112" s="62"/>
      <c r="H112" s="52" t="str">
        <f t="shared" si="7"/>
        <v/>
      </c>
    </row>
    <row r="113" spans="1:8" ht="20" customHeight="1">
      <c r="A113" s="61"/>
      <c r="B113" s="52" t="str">
        <f t="shared" si="6"/>
        <v/>
      </c>
      <c r="C113" s="62"/>
      <c r="D113" s="62"/>
      <c r="E113" s="63"/>
      <c r="F113" s="62"/>
      <c r="G113" s="62"/>
      <c r="H113" s="52" t="str">
        <f t="shared" si="7"/>
        <v/>
      </c>
    </row>
    <row r="114" spans="1:8" ht="20" customHeight="1">
      <c r="A114" s="61"/>
      <c r="B114" s="52" t="str">
        <f t="shared" si="6"/>
        <v/>
      </c>
      <c r="C114" s="62"/>
      <c r="D114" s="62"/>
      <c r="E114" s="63"/>
      <c r="F114" s="62"/>
      <c r="G114" s="62"/>
      <c r="H114" s="52" t="str">
        <f t="shared" si="7"/>
        <v/>
      </c>
    </row>
    <row r="115" spans="1:8" ht="20" customHeight="1">
      <c r="A115" s="61"/>
      <c r="B115" s="52" t="str">
        <f t="shared" si="6"/>
        <v/>
      </c>
      <c r="C115" s="62"/>
      <c r="D115" s="62"/>
      <c r="E115" s="63"/>
      <c r="F115" s="62"/>
      <c r="G115" s="62"/>
      <c r="H115" s="52" t="str">
        <f t="shared" si="7"/>
        <v/>
      </c>
    </row>
    <row r="116" spans="1:8" ht="20" customHeight="1">
      <c r="A116" s="61"/>
      <c r="B116" s="52" t="str">
        <f t="shared" si="6"/>
        <v/>
      </c>
      <c r="C116" s="62"/>
      <c r="D116" s="62"/>
      <c r="E116" s="63"/>
      <c r="F116" s="62"/>
      <c r="G116" s="62"/>
      <c r="H116" s="52" t="str">
        <f t="shared" si="7"/>
        <v/>
      </c>
    </row>
    <row r="117" spans="1:8" ht="20" customHeight="1">
      <c r="A117" s="61"/>
      <c r="B117" s="52" t="str">
        <f t="shared" si="6"/>
        <v/>
      </c>
      <c r="C117" s="62"/>
      <c r="D117" s="62"/>
      <c r="E117" s="63"/>
      <c r="F117" s="62"/>
      <c r="G117" s="62"/>
      <c r="H117" s="52" t="str">
        <f t="shared" si="7"/>
        <v/>
      </c>
    </row>
    <row r="118" spans="1:8" ht="20" customHeight="1">
      <c r="A118" s="61"/>
      <c r="B118" s="52" t="str">
        <f t="shared" si="6"/>
        <v/>
      </c>
      <c r="C118" s="62"/>
      <c r="D118" s="62"/>
      <c r="E118" s="63"/>
      <c r="F118" s="62"/>
      <c r="G118" s="62"/>
      <c r="H118" s="52" t="str">
        <f t="shared" si="7"/>
        <v/>
      </c>
    </row>
    <row r="119" spans="1:8" ht="20" customHeight="1">
      <c r="A119" s="61"/>
      <c r="B119" s="52" t="str">
        <f t="shared" si="6"/>
        <v/>
      </c>
      <c r="C119" s="62"/>
      <c r="D119" s="62"/>
      <c r="E119" s="63"/>
      <c r="F119" s="62"/>
      <c r="G119" s="62"/>
      <c r="H119" s="52" t="str">
        <f t="shared" si="7"/>
        <v/>
      </c>
    </row>
    <row r="120" spans="1:8" ht="20" customHeight="1">
      <c r="A120" s="61"/>
      <c r="B120" s="52" t="str">
        <f t="shared" si="6"/>
        <v/>
      </c>
      <c r="C120" s="62"/>
      <c r="D120" s="62"/>
      <c r="E120" s="63"/>
      <c r="F120" s="62"/>
      <c r="G120" s="62"/>
      <c r="H120" s="52" t="str">
        <f t="shared" si="7"/>
        <v/>
      </c>
    </row>
    <row r="121" spans="1:8" ht="20" customHeight="1">
      <c r="A121" s="61"/>
      <c r="B121" s="52" t="str">
        <f t="shared" si="6"/>
        <v/>
      </c>
      <c r="C121" s="62"/>
      <c r="D121" s="62"/>
      <c r="E121" s="63"/>
      <c r="F121" s="62"/>
      <c r="G121" s="62"/>
      <c r="H121" s="52" t="str">
        <f t="shared" si="7"/>
        <v/>
      </c>
    </row>
    <row r="122" spans="1:8" ht="20" customHeight="1">
      <c r="A122" s="61"/>
      <c r="B122" s="52" t="str">
        <f t="shared" si="6"/>
        <v/>
      </c>
      <c r="C122" s="62"/>
      <c r="D122" s="62"/>
      <c r="E122" s="63"/>
      <c r="F122" s="62"/>
      <c r="G122" s="62"/>
      <c r="H122" s="52" t="str">
        <f t="shared" si="7"/>
        <v/>
      </c>
    </row>
    <row r="123" spans="1:8" ht="20" customHeight="1">
      <c r="A123" s="61"/>
      <c r="B123" s="52" t="str">
        <f t="shared" si="6"/>
        <v/>
      </c>
      <c r="C123" s="62"/>
      <c r="D123" s="62"/>
      <c r="E123" s="63"/>
      <c r="F123" s="62"/>
      <c r="G123" s="62"/>
      <c r="H123" s="52" t="str">
        <f t="shared" si="7"/>
        <v/>
      </c>
    </row>
    <row r="124" spans="1:8" ht="20" customHeight="1">
      <c r="A124" s="61"/>
      <c r="B124" s="52" t="str">
        <f t="shared" si="6"/>
        <v/>
      </c>
      <c r="C124" s="62"/>
      <c r="D124" s="62"/>
      <c r="E124" s="63"/>
      <c r="F124" s="62"/>
      <c r="G124" s="62"/>
      <c r="H124" s="52" t="str">
        <f t="shared" si="7"/>
        <v/>
      </c>
    </row>
    <row r="125" spans="1:8" ht="20" customHeight="1">
      <c r="A125" s="61"/>
      <c r="B125" s="52" t="str">
        <f t="shared" si="6"/>
        <v/>
      </c>
      <c r="C125" s="62"/>
      <c r="D125" s="62"/>
      <c r="E125" s="63"/>
      <c r="F125" s="62"/>
      <c r="G125" s="62"/>
      <c r="H125" s="52" t="str">
        <f t="shared" si="7"/>
        <v/>
      </c>
    </row>
    <row r="126" spans="1:8" ht="20" customHeight="1">
      <c r="A126" s="61"/>
      <c r="B126" s="52" t="str">
        <f t="shared" si="6"/>
        <v/>
      </c>
      <c r="C126" s="62"/>
      <c r="D126" s="62"/>
      <c r="E126" s="63"/>
      <c r="F126" s="62"/>
      <c r="G126" s="62"/>
      <c r="H126" s="52" t="str">
        <f t="shared" si="7"/>
        <v/>
      </c>
    </row>
    <row r="127" spans="1:8" ht="20" customHeight="1">
      <c r="A127" s="61"/>
      <c r="B127" s="52" t="str">
        <f t="shared" si="6"/>
        <v/>
      </c>
      <c r="C127" s="62"/>
      <c r="D127" s="62"/>
      <c r="E127" s="63"/>
      <c r="F127" s="62"/>
      <c r="G127" s="62"/>
      <c r="H127" s="52" t="str">
        <f t="shared" si="7"/>
        <v/>
      </c>
    </row>
    <row r="128" spans="1:8" ht="20" customHeight="1">
      <c r="A128" s="61"/>
      <c r="B128" s="52" t="str">
        <f t="shared" si="6"/>
        <v/>
      </c>
      <c r="C128" s="62"/>
      <c r="D128" s="62"/>
      <c r="E128" s="63"/>
      <c r="F128" s="62"/>
      <c r="G128" s="62"/>
      <c r="H128" s="52" t="str">
        <f t="shared" si="7"/>
        <v/>
      </c>
    </row>
    <row r="129" spans="1:8" ht="20" customHeight="1">
      <c r="A129" s="61"/>
      <c r="B129" s="52" t="str">
        <f t="shared" si="6"/>
        <v/>
      </c>
      <c r="C129" s="62"/>
      <c r="D129" s="62"/>
      <c r="E129" s="63"/>
      <c r="F129" s="62"/>
      <c r="G129" s="62"/>
      <c r="H129" s="52" t="str">
        <f t="shared" si="7"/>
        <v/>
      </c>
    </row>
    <row r="130" spans="1:8" ht="20" customHeight="1">
      <c r="A130" s="61"/>
      <c r="B130" s="52" t="str">
        <f t="shared" si="6"/>
        <v/>
      </c>
      <c r="C130" s="62"/>
      <c r="D130" s="62"/>
      <c r="E130" s="63"/>
      <c r="F130" s="62"/>
      <c r="G130" s="62"/>
      <c r="H130" s="52" t="str">
        <f t="shared" si="7"/>
        <v/>
      </c>
    </row>
    <row r="131" spans="1:8" ht="20" customHeight="1">
      <c r="A131" s="61"/>
      <c r="B131" s="52" t="str">
        <f t="shared" si="6"/>
        <v/>
      </c>
      <c r="C131" s="62"/>
      <c r="D131" s="62"/>
      <c r="E131" s="63"/>
      <c r="F131" s="62"/>
      <c r="G131" s="62"/>
      <c r="H131" s="52" t="str">
        <f t="shared" si="7"/>
        <v/>
      </c>
    </row>
    <row r="132" spans="1:8" ht="20" customHeight="1">
      <c r="A132" s="61"/>
      <c r="B132" s="52" t="str">
        <f t="shared" si="6"/>
        <v/>
      </c>
      <c r="C132" s="62"/>
      <c r="D132" s="62"/>
      <c r="E132" s="63"/>
      <c r="F132" s="62"/>
      <c r="G132" s="62"/>
      <c r="H132" s="52" t="str">
        <f t="shared" si="7"/>
        <v/>
      </c>
    </row>
    <row r="133" spans="1:8" ht="20" customHeight="1">
      <c r="A133" s="61"/>
      <c r="B133" s="52" t="str">
        <f t="shared" si="6"/>
        <v/>
      </c>
      <c r="C133" s="62"/>
      <c r="D133" s="62"/>
      <c r="E133" s="63"/>
      <c r="F133" s="62"/>
      <c r="G133" s="62"/>
      <c r="H133" s="52" t="str">
        <f t="shared" si="7"/>
        <v/>
      </c>
    </row>
    <row r="134" spans="1:8" ht="20" customHeight="1">
      <c r="A134" s="61"/>
      <c r="B134" s="52" t="str">
        <f t="shared" si="6"/>
        <v/>
      </c>
      <c r="C134" s="62"/>
      <c r="D134" s="62"/>
      <c r="E134" s="63"/>
      <c r="F134" s="62"/>
      <c r="G134" s="62"/>
      <c r="H134" s="52" t="str">
        <f t="shared" si="7"/>
        <v/>
      </c>
    </row>
    <row r="135" spans="1:8" ht="20" customHeight="1">
      <c r="A135" s="61"/>
      <c r="B135" s="52" t="str">
        <f t="shared" ref="B135:B166" si="8">IF(A135="","",MONTH(A135))</f>
        <v/>
      </c>
      <c r="C135" s="62"/>
      <c r="D135" s="62"/>
      <c r="E135" s="63"/>
      <c r="F135" s="62"/>
      <c r="G135" s="62"/>
      <c r="H135" s="52" t="str">
        <f t="shared" ref="H135:H166" si="9">IF(A135="","",YEAR(A135))</f>
        <v/>
      </c>
    </row>
    <row r="136" spans="1:8" ht="20" customHeight="1">
      <c r="A136" s="61"/>
      <c r="B136" s="52" t="str">
        <f t="shared" si="8"/>
        <v/>
      </c>
      <c r="C136" s="62"/>
      <c r="D136" s="62"/>
      <c r="E136" s="63"/>
      <c r="F136" s="62"/>
      <c r="G136" s="62"/>
      <c r="H136" s="52" t="str">
        <f t="shared" si="9"/>
        <v/>
      </c>
    </row>
    <row r="137" spans="1:8" ht="20" customHeight="1">
      <c r="A137" s="61"/>
      <c r="B137" s="52" t="str">
        <f t="shared" si="8"/>
        <v/>
      </c>
      <c r="C137" s="62"/>
      <c r="D137" s="62"/>
      <c r="E137" s="63"/>
      <c r="F137" s="62"/>
      <c r="G137" s="62"/>
      <c r="H137" s="52" t="str">
        <f t="shared" si="9"/>
        <v/>
      </c>
    </row>
    <row r="138" spans="1:8" ht="20" customHeight="1">
      <c r="A138" s="61"/>
      <c r="B138" s="52" t="str">
        <f t="shared" si="8"/>
        <v/>
      </c>
      <c r="C138" s="62"/>
      <c r="D138" s="62"/>
      <c r="E138" s="63"/>
      <c r="F138" s="62"/>
      <c r="G138" s="62"/>
      <c r="H138" s="52" t="str">
        <f t="shared" si="9"/>
        <v/>
      </c>
    </row>
    <row r="139" spans="1:8" ht="20" customHeight="1">
      <c r="A139" s="61"/>
      <c r="B139" s="52" t="str">
        <f t="shared" si="8"/>
        <v/>
      </c>
      <c r="C139" s="62"/>
      <c r="D139" s="62"/>
      <c r="E139" s="63"/>
      <c r="F139" s="62"/>
      <c r="G139" s="62"/>
      <c r="H139" s="52" t="str">
        <f t="shared" si="9"/>
        <v/>
      </c>
    </row>
    <row r="140" spans="1:8" ht="20" customHeight="1">
      <c r="A140" s="61"/>
      <c r="B140" s="52" t="str">
        <f t="shared" si="8"/>
        <v/>
      </c>
      <c r="C140" s="62"/>
      <c r="D140" s="62"/>
      <c r="E140" s="63"/>
      <c r="F140" s="62"/>
      <c r="G140" s="62"/>
      <c r="H140" s="52" t="str">
        <f t="shared" si="9"/>
        <v/>
      </c>
    </row>
    <row r="141" spans="1:8" ht="20" customHeight="1">
      <c r="A141" s="61"/>
      <c r="B141" s="52" t="str">
        <f t="shared" si="8"/>
        <v/>
      </c>
      <c r="C141" s="62"/>
      <c r="D141" s="62"/>
      <c r="E141" s="63"/>
      <c r="F141" s="62"/>
      <c r="G141" s="62"/>
      <c r="H141" s="52" t="str">
        <f t="shared" si="9"/>
        <v/>
      </c>
    </row>
    <row r="142" spans="1:8" ht="20" customHeight="1">
      <c r="A142" s="61"/>
      <c r="B142" s="52" t="str">
        <f t="shared" si="8"/>
        <v/>
      </c>
      <c r="C142" s="62"/>
      <c r="D142" s="62"/>
      <c r="E142" s="63"/>
      <c r="F142" s="62"/>
      <c r="G142" s="62"/>
      <c r="H142" s="52" t="str">
        <f t="shared" si="9"/>
        <v/>
      </c>
    </row>
    <row r="143" spans="1:8" ht="20" customHeight="1">
      <c r="A143" s="61"/>
      <c r="B143" s="52" t="str">
        <f t="shared" si="8"/>
        <v/>
      </c>
      <c r="C143" s="62"/>
      <c r="D143" s="62"/>
      <c r="E143" s="63"/>
      <c r="F143" s="62"/>
      <c r="G143" s="62"/>
      <c r="H143" s="52" t="str">
        <f t="shared" si="9"/>
        <v/>
      </c>
    </row>
    <row r="144" spans="1:8" ht="20" customHeight="1">
      <c r="A144" s="61"/>
      <c r="B144" s="52" t="str">
        <f t="shared" si="8"/>
        <v/>
      </c>
      <c r="C144" s="62"/>
      <c r="D144" s="62"/>
      <c r="E144" s="63"/>
      <c r="F144" s="62"/>
      <c r="G144" s="62"/>
      <c r="H144" s="52" t="str">
        <f t="shared" si="9"/>
        <v/>
      </c>
    </row>
    <row r="145" spans="1:8" ht="20" customHeight="1">
      <c r="A145" s="61"/>
      <c r="B145" s="52" t="str">
        <f t="shared" si="8"/>
        <v/>
      </c>
      <c r="C145" s="62"/>
      <c r="D145" s="62"/>
      <c r="E145" s="63"/>
      <c r="F145" s="62"/>
      <c r="G145" s="62"/>
      <c r="H145" s="52" t="str">
        <f t="shared" si="9"/>
        <v/>
      </c>
    </row>
    <row r="146" spans="1:8" ht="20" customHeight="1">
      <c r="A146" s="61"/>
      <c r="B146" s="52" t="str">
        <f t="shared" si="8"/>
        <v/>
      </c>
      <c r="C146" s="62"/>
      <c r="D146" s="62"/>
      <c r="E146" s="63"/>
      <c r="F146" s="62"/>
      <c r="G146" s="62"/>
      <c r="H146" s="52" t="str">
        <f t="shared" si="9"/>
        <v/>
      </c>
    </row>
    <row r="147" spans="1:8" ht="20" customHeight="1">
      <c r="A147" s="61"/>
      <c r="B147" s="52" t="str">
        <f t="shared" si="8"/>
        <v/>
      </c>
      <c r="C147" s="62"/>
      <c r="D147" s="62"/>
      <c r="E147" s="63"/>
      <c r="F147" s="62"/>
      <c r="G147" s="62"/>
      <c r="H147" s="52" t="str">
        <f t="shared" si="9"/>
        <v/>
      </c>
    </row>
    <row r="148" spans="1:8" ht="20" customHeight="1">
      <c r="A148" s="61"/>
      <c r="B148" s="52" t="str">
        <f t="shared" si="8"/>
        <v/>
      </c>
      <c r="C148" s="62"/>
      <c r="D148" s="62"/>
      <c r="E148" s="63"/>
      <c r="F148" s="62"/>
      <c r="G148" s="62"/>
      <c r="H148" s="52" t="str">
        <f t="shared" si="9"/>
        <v/>
      </c>
    </row>
    <row r="149" spans="1:8" ht="20" customHeight="1">
      <c r="A149" s="61"/>
      <c r="B149" s="52" t="str">
        <f t="shared" si="8"/>
        <v/>
      </c>
      <c r="C149" s="62"/>
      <c r="D149" s="62"/>
      <c r="E149" s="63"/>
      <c r="F149" s="62"/>
      <c r="G149" s="62"/>
      <c r="H149" s="52" t="str">
        <f t="shared" si="9"/>
        <v/>
      </c>
    </row>
    <row r="150" spans="1:8" ht="20" customHeight="1">
      <c r="A150" s="61"/>
      <c r="B150" s="52" t="str">
        <f t="shared" si="8"/>
        <v/>
      </c>
      <c r="C150" s="62"/>
      <c r="D150" s="62"/>
      <c r="E150" s="63"/>
      <c r="F150" s="62"/>
      <c r="G150" s="62"/>
      <c r="H150" s="52" t="str">
        <f t="shared" si="9"/>
        <v/>
      </c>
    </row>
    <row r="151" spans="1:8" ht="20" customHeight="1">
      <c r="A151" s="61"/>
      <c r="B151" s="52" t="str">
        <f t="shared" si="8"/>
        <v/>
      </c>
      <c r="C151" s="62"/>
      <c r="D151" s="62"/>
      <c r="E151" s="63"/>
      <c r="F151" s="62"/>
      <c r="G151" s="62"/>
      <c r="H151" s="52" t="str">
        <f t="shared" si="9"/>
        <v/>
      </c>
    </row>
    <row r="152" spans="1:8" ht="20" customHeight="1">
      <c r="A152" s="61"/>
      <c r="B152" s="52" t="str">
        <f t="shared" si="8"/>
        <v/>
      </c>
      <c r="C152" s="62"/>
      <c r="D152" s="62"/>
      <c r="E152" s="63"/>
      <c r="F152" s="62"/>
      <c r="G152" s="62"/>
      <c r="H152" s="52" t="str">
        <f t="shared" si="9"/>
        <v/>
      </c>
    </row>
    <row r="153" spans="1:8" ht="20" customHeight="1">
      <c r="A153" s="61"/>
      <c r="B153" s="52" t="str">
        <f t="shared" si="8"/>
        <v/>
      </c>
      <c r="C153" s="62"/>
      <c r="D153" s="62"/>
      <c r="E153" s="63"/>
      <c r="F153" s="62"/>
      <c r="G153" s="62"/>
      <c r="H153" s="52" t="str">
        <f t="shared" si="9"/>
        <v/>
      </c>
    </row>
    <row r="154" spans="1:8" ht="20" customHeight="1">
      <c r="A154" s="61"/>
      <c r="B154" s="52" t="str">
        <f t="shared" si="8"/>
        <v/>
      </c>
      <c r="C154" s="62"/>
      <c r="D154" s="62"/>
      <c r="E154" s="63"/>
      <c r="F154" s="62"/>
      <c r="G154" s="62"/>
      <c r="H154" s="52" t="str">
        <f t="shared" si="9"/>
        <v/>
      </c>
    </row>
    <row r="155" spans="1:8" ht="20" customHeight="1">
      <c r="A155" s="61"/>
      <c r="B155" s="52" t="str">
        <f t="shared" si="8"/>
        <v/>
      </c>
      <c r="C155" s="62"/>
      <c r="D155" s="62"/>
      <c r="E155" s="63"/>
      <c r="F155" s="62"/>
      <c r="G155" s="62"/>
      <c r="H155" s="52" t="str">
        <f t="shared" si="9"/>
        <v/>
      </c>
    </row>
    <row r="156" spans="1:8" ht="20" customHeight="1">
      <c r="A156" s="61"/>
      <c r="B156" s="52" t="str">
        <f t="shared" si="8"/>
        <v/>
      </c>
      <c r="C156" s="62"/>
      <c r="D156" s="62"/>
      <c r="E156" s="63"/>
      <c r="F156" s="62"/>
      <c r="G156" s="62"/>
      <c r="H156" s="52" t="str">
        <f t="shared" si="9"/>
        <v/>
      </c>
    </row>
    <row r="157" spans="1:8" ht="20" customHeight="1">
      <c r="A157" s="61"/>
      <c r="B157" s="52" t="str">
        <f t="shared" si="8"/>
        <v/>
      </c>
      <c r="C157" s="62"/>
      <c r="D157" s="62"/>
      <c r="E157" s="63"/>
      <c r="F157" s="62"/>
      <c r="G157" s="62"/>
      <c r="H157" s="52" t="str">
        <f t="shared" si="9"/>
        <v/>
      </c>
    </row>
    <row r="158" spans="1:8" ht="20" customHeight="1">
      <c r="A158" s="61"/>
      <c r="B158" s="52" t="str">
        <f t="shared" si="8"/>
        <v/>
      </c>
      <c r="C158" s="62"/>
      <c r="D158" s="62"/>
      <c r="E158" s="63"/>
      <c r="F158" s="62"/>
      <c r="G158" s="62"/>
      <c r="H158" s="52" t="str">
        <f t="shared" si="9"/>
        <v/>
      </c>
    </row>
    <row r="159" spans="1:8" ht="20" customHeight="1">
      <c r="A159" s="61"/>
      <c r="B159" s="52" t="str">
        <f t="shared" si="8"/>
        <v/>
      </c>
      <c r="C159" s="62"/>
      <c r="D159" s="62"/>
      <c r="E159" s="63"/>
      <c r="F159" s="62"/>
      <c r="G159" s="62"/>
      <c r="H159" s="52" t="str">
        <f t="shared" si="9"/>
        <v/>
      </c>
    </row>
    <row r="160" spans="1:8" ht="20" customHeight="1">
      <c r="A160" s="61"/>
      <c r="B160" s="52" t="str">
        <f t="shared" si="8"/>
        <v/>
      </c>
      <c r="C160" s="62"/>
      <c r="D160" s="62"/>
      <c r="E160" s="63"/>
      <c r="F160" s="62"/>
      <c r="G160" s="62"/>
      <c r="H160" s="52" t="str">
        <f t="shared" si="9"/>
        <v/>
      </c>
    </row>
    <row r="161" spans="1:8" ht="20" customHeight="1">
      <c r="A161" s="61"/>
      <c r="B161" s="52" t="str">
        <f t="shared" si="8"/>
        <v/>
      </c>
      <c r="C161" s="62"/>
      <c r="D161" s="62"/>
      <c r="E161" s="63"/>
      <c r="F161" s="62"/>
      <c r="G161" s="62"/>
      <c r="H161" s="52" t="str">
        <f t="shared" si="9"/>
        <v/>
      </c>
    </row>
    <row r="162" spans="1:8" ht="20" customHeight="1">
      <c r="A162" s="61"/>
      <c r="B162" s="52" t="str">
        <f t="shared" si="8"/>
        <v/>
      </c>
      <c r="C162" s="62"/>
      <c r="D162" s="62"/>
      <c r="E162" s="63"/>
      <c r="F162" s="62"/>
      <c r="G162" s="62"/>
      <c r="H162" s="52" t="str">
        <f t="shared" si="9"/>
        <v/>
      </c>
    </row>
    <row r="163" spans="1:8" ht="20" customHeight="1">
      <c r="A163" s="61"/>
      <c r="B163" s="52" t="str">
        <f t="shared" si="8"/>
        <v/>
      </c>
      <c r="C163" s="62"/>
      <c r="D163" s="62"/>
      <c r="E163" s="63"/>
      <c r="F163" s="62"/>
      <c r="G163" s="62"/>
      <c r="H163" s="52" t="str">
        <f t="shared" si="9"/>
        <v/>
      </c>
    </row>
    <row r="164" spans="1:8" ht="20" customHeight="1">
      <c r="A164" s="61"/>
      <c r="B164" s="52" t="str">
        <f t="shared" si="8"/>
        <v/>
      </c>
      <c r="C164" s="62"/>
      <c r="D164" s="62"/>
      <c r="E164" s="63"/>
      <c r="F164" s="62"/>
      <c r="G164" s="62"/>
      <c r="H164" s="52" t="str">
        <f t="shared" si="9"/>
        <v/>
      </c>
    </row>
    <row r="165" spans="1:8" ht="20" customHeight="1">
      <c r="A165" s="61"/>
      <c r="B165" s="52" t="str">
        <f t="shared" si="8"/>
        <v/>
      </c>
      <c r="C165" s="62"/>
      <c r="D165" s="62"/>
      <c r="E165" s="63"/>
      <c r="F165" s="62"/>
      <c r="G165" s="62"/>
      <c r="H165" s="52" t="str">
        <f t="shared" si="9"/>
        <v/>
      </c>
    </row>
    <row r="166" spans="1:8" ht="20" customHeight="1">
      <c r="A166" s="61"/>
      <c r="B166" s="52" t="str">
        <f t="shared" si="8"/>
        <v/>
      </c>
      <c r="C166" s="62"/>
      <c r="D166" s="62"/>
      <c r="E166" s="63"/>
      <c r="F166" s="62"/>
      <c r="G166" s="62"/>
      <c r="H166" s="52" t="str">
        <f t="shared" si="9"/>
        <v/>
      </c>
    </row>
    <row r="167" spans="1:8" ht="20" customHeight="1">
      <c r="A167" s="61"/>
      <c r="B167" s="52" t="str">
        <f t="shared" ref="B167:B198" si="10">IF(A167="","",MONTH(A167))</f>
        <v/>
      </c>
      <c r="C167" s="62"/>
      <c r="D167" s="62"/>
      <c r="E167" s="63"/>
      <c r="F167" s="62"/>
      <c r="G167" s="62"/>
      <c r="H167" s="52" t="str">
        <f t="shared" ref="H167:H198" si="11">IF(A167="","",YEAR(A167))</f>
        <v/>
      </c>
    </row>
    <row r="168" spans="1:8" ht="20" customHeight="1">
      <c r="A168" s="61"/>
      <c r="B168" s="52" t="str">
        <f t="shared" si="10"/>
        <v/>
      </c>
      <c r="C168" s="62"/>
      <c r="D168" s="62"/>
      <c r="E168" s="63"/>
      <c r="F168" s="62"/>
      <c r="G168" s="62"/>
      <c r="H168" s="52" t="str">
        <f t="shared" si="11"/>
        <v/>
      </c>
    </row>
    <row r="169" spans="1:8" ht="20" customHeight="1">
      <c r="A169" s="61"/>
      <c r="B169" s="52" t="str">
        <f t="shared" si="10"/>
        <v/>
      </c>
      <c r="C169" s="62"/>
      <c r="D169" s="62"/>
      <c r="E169" s="63"/>
      <c r="F169" s="62"/>
      <c r="G169" s="62"/>
      <c r="H169" s="52" t="str">
        <f t="shared" si="11"/>
        <v/>
      </c>
    </row>
    <row r="170" spans="1:8" ht="20" customHeight="1">
      <c r="A170" s="61"/>
      <c r="B170" s="52" t="str">
        <f t="shared" si="10"/>
        <v/>
      </c>
      <c r="C170" s="62"/>
      <c r="D170" s="62"/>
      <c r="E170" s="63"/>
      <c r="F170" s="62"/>
      <c r="G170" s="62"/>
      <c r="H170" s="52" t="str">
        <f t="shared" si="11"/>
        <v/>
      </c>
    </row>
    <row r="171" spans="1:8" ht="20" customHeight="1">
      <c r="A171" s="61"/>
      <c r="B171" s="52" t="str">
        <f t="shared" si="10"/>
        <v/>
      </c>
      <c r="C171" s="62"/>
      <c r="D171" s="62"/>
      <c r="E171" s="63"/>
      <c r="F171" s="62"/>
      <c r="G171" s="62"/>
      <c r="H171" s="52" t="str">
        <f t="shared" si="11"/>
        <v/>
      </c>
    </row>
    <row r="172" spans="1:8" ht="20" customHeight="1">
      <c r="A172" s="61"/>
      <c r="B172" s="52" t="str">
        <f t="shared" si="10"/>
        <v/>
      </c>
      <c r="C172" s="62"/>
      <c r="D172" s="62"/>
      <c r="E172" s="63"/>
      <c r="F172" s="62"/>
      <c r="G172" s="62"/>
      <c r="H172" s="52" t="str">
        <f t="shared" si="11"/>
        <v/>
      </c>
    </row>
    <row r="173" spans="1:8" ht="20" customHeight="1">
      <c r="A173" s="61"/>
      <c r="B173" s="52" t="str">
        <f t="shared" si="10"/>
        <v/>
      </c>
      <c r="C173" s="62"/>
      <c r="D173" s="62"/>
      <c r="E173" s="63"/>
      <c r="F173" s="62"/>
      <c r="G173" s="62"/>
      <c r="H173" s="52" t="str">
        <f t="shared" si="11"/>
        <v/>
      </c>
    </row>
    <row r="174" spans="1:8" ht="20" customHeight="1">
      <c r="A174" s="61"/>
      <c r="B174" s="52" t="str">
        <f t="shared" si="10"/>
        <v/>
      </c>
      <c r="C174" s="62"/>
      <c r="D174" s="62"/>
      <c r="E174" s="63"/>
      <c r="F174" s="62"/>
      <c r="G174" s="62"/>
      <c r="H174" s="52" t="str">
        <f t="shared" si="11"/>
        <v/>
      </c>
    </row>
    <row r="175" spans="1:8" ht="20" customHeight="1">
      <c r="A175" s="61"/>
      <c r="B175" s="52" t="str">
        <f t="shared" si="10"/>
        <v/>
      </c>
      <c r="C175" s="62"/>
      <c r="D175" s="62"/>
      <c r="E175" s="63"/>
      <c r="F175" s="62"/>
      <c r="G175" s="62"/>
      <c r="H175" s="52" t="str">
        <f t="shared" si="11"/>
        <v/>
      </c>
    </row>
    <row r="176" spans="1:8" ht="20" customHeight="1">
      <c r="A176" s="61"/>
      <c r="B176" s="52" t="str">
        <f t="shared" si="10"/>
        <v/>
      </c>
      <c r="C176" s="62"/>
      <c r="D176" s="62"/>
      <c r="E176" s="63"/>
      <c r="F176" s="62"/>
      <c r="G176" s="62"/>
      <c r="H176" s="52" t="str">
        <f t="shared" si="11"/>
        <v/>
      </c>
    </row>
    <row r="177" spans="1:8" ht="20" customHeight="1">
      <c r="A177" s="61"/>
      <c r="B177" s="52" t="str">
        <f t="shared" si="10"/>
        <v/>
      </c>
      <c r="C177" s="62"/>
      <c r="D177" s="62"/>
      <c r="E177" s="63"/>
      <c r="F177" s="62"/>
      <c r="G177" s="62"/>
      <c r="H177" s="52" t="str">
        <f t="shared" si="11"/>
        <v/>
      </c>
    </row>
    <row r="178" spans="1:8" ht="20" customHeight="1">
      <c r="A178" s="61"/>
      <c r="B178" s="52" t="str">
        <f t="shared" si="10"/>
        <v/>
      </c>
      <c r="C178" s="62"/>
      <c r="D178" s="62"/>
      <c r="E178" s="63"/>
      <c r="F178" s="62"/>
      <c r="G178" s="62"/>
      <c r="H178" s="52" t="str">
        <f t="shared" si="11"/>
        <v/>
      </c>
    </row>
    <row r="179" spans="1:8" ht="20" customHeight="1">
      <c r="A179" s="61"/>
      <c r="B179" s="52" t="str">
        <f t="shared" si="10"/>
        <v/>
      </c>
      <c r="C179" s="62"/>
      <c r="D179" s="62"/>
      <c r="E179" s="63"/>
      <c r="F179" s="62"/>
      <c r="G179" s="62"/>
      <c r="H179" s="52" t="str">
        <f t="shared" si="11"/>
        <v/>
      </c>
    </row>
    <row r="180" spans="1:8" ht="20" customHeight="1">
      <c r="A180" s="61"/>
      <c r="B180" s="52" t="str">
        <f t="shared" si="10"/>
        <v/>
      </c>
      <c r="C180" s="62"/>
      <c r="D180" s="62"/>
      <c r="E180" s="63"/>
      <c r="F180" s="62"/>
      <c r="G180" s="62"/>
      <c r="H180" s="52" t="str">
        <f t="shared" si="11"/>
        <v/>
      </c>
    </row>
    <row r="181" spans="1:8" ht="20" customHeight="1">
      <c r="A181" s="61"/>
      <c r="B181" s="52" t="str">
        <f t="shared" si="10"/>
        <v/>
      </c>
      <c r="C181" s="62"/>
      <c r="D181" s="62"/>
      <c r="E181" s="63"/>
      <c r="F181" s="62"/>
      <c r="G181" s="62"/>
      <c r="H181" s="52" t="str">
        <f t="shared" si="11"/>
        <v/>
      </c>
    </row>
    <row r="182" spans="1:8" ht="20" customHeight="1">
      <c r="A182" s="61"/>
      <c r="B182" s="52" t="str">
        <f t="shared" si="10"/>
        <v/>
      </c>
      <c r="C182" s="62"/>
      <c r="D182" s="62"/>
      <c r="E182" s="63"/>
      <c r="F182" s="62"/>
      <c r="G182" s="62"/>
      <c r="H182" s="52" t="str">
        <f t="shared" si="11"/>
        <v/>
      </c>
    </row>
    <row r="183" spans="1:8" ht="20" customHeight="1">
      <c r="A183" s="61"/>
      <c r="B183" s="52" t="str">
        <f t="shared" si="10"/>
        <v/>
      </c>
      <c r="C183" s="62"/>
      <c r="D183" s="62"/>
      <c r="E183" s="63"/>
      <c r="F183" s="62"/>
      <c r="G183" s="62"/>
      <c r="H183" s="52" t="str">
        <f t="shared" si="11"/>
        <v/>
      </c>
    </row>
    <row r="184" spans="1:8" ht="20" customHeight="1">
      <c r="A184" s="61"/>
      <c r="B184" s="52" t="str">
        <f t="shared" si="10"/>
        <v/>
      </c>
      <c r="C184" s="62"/>
      <c r="D184" s="62"/>
      <c r="E184" s="63"/>
      <c r="F184" s="62"/>
      <c r="G184" s="62"/>
      <c r="H184" s="52" t="str">
        <f t="shared" si="11"/>
        <v/>
      </c>
    </row>
    <row r="185" spans="1:8" ht="20" customHeight="1">
      <c r="A185" s="61"/>
      <c r="B185" s="52" t="str">
        <f t="shared" si="10"/>
        <v/>
      </c>
      <c r="C185" s="62"/>
      <c r="D185" s="62"/>
      <c r="E185" s="63"/>
      <c r="F185" s="62"/>
      <c r="G185" s="62"/>
      <c r="H185" s="52" t="str">
        <f t="shared" si="11"/>
        <v/>
      </c>
    </row>
    <row r="186" spans="1:8" ht="20" customHeight="1">
      <c r="A186" s="61"/>
      <c r="B186" s="52" t="str">
        <f t="shared" si="10"/>
        <v/>
      </c>
      <c r="C186" s="62"/>
      <c r="D186" s="62"/>
      <c r="E186" s="63"/>
      <c r="F186" s="62"/>
      <c r="G186" s="62"/>
      <c r="H186" s="52" t="str">
        <f t="shared" si="11"/>
        <v/>
      </c>
    </row>
    <row r="187" spans="1:8" ht="20" customHeight="1">
      <c r="A187" s="61"/>
      <c r="B187" s="52" t="str">
        <f t="shared" si="10"/>
        <v/>
      </c>
      <c r="C187" s="62"/>
      <c r="D187" s="62"/>
      <c r="E187" s="63"/>
      <c r="F187" s="62"/>
      <c r="G187" s="62"/>
      <c r="H187" s="52" t="str">
        <f t="shared" si="11"/>
        <v/>
      </c>
    </row>
    <row r="188" spans="1:8" ht="20" customHeight="1">
      <c r="A188" s="61"/>
      <c r="B188" s="52" t="str">
        <f t="shared" si="10"/>
        <v/>
      </c>
      <c r="C188" s="62"/>
      <c r="D188" s="62"/>
      <c r="E188" s="63"/>
      <c r="F188" s="62"/>
      <c r="G188" s="62"/>
      <c r="H188" s="52" t="str">
        <f t="shared" si="11"/>
        <v/>
      </c>
    </row>
    <row r="189" spans="1:8" ht="20" customHeight="1">
      <c r="A189" s="61"/>
      <c r="B189" s="52" t="str">
        <f t="shared" si="10"/>
        <v/>
      </c>
      <c r="C189" s="62"/>
      <c r="D189" s="62"/>
      <c r="E189" s="63"/>
      <c r="F189" s="62"/>
      <c r="G189" s="62"/>
      <c r="H189" s="52" t="str">
        <f t="shared" si="11"/>
        <v/>
      </c>
    </row>
    <row r="190" spans="1:8" ht="20" customHeight="1">
      <c r="A190" s="61"/>
      <c r="B190" s="52" t="str">
        <f t="shared" si="10"/>
        <v/>
      </c>
      <c r="C190" s="62"/>
      <c r="D190" s="62"/>
      <c r="E190" s="63"/>
      <c r="F190" s="62"/>
      <c r="G190" s="62"/>
      <c r="H190" s="52" t="str">
        <f t="shared" si="11"/>
        <v/>
      </c>
    </row>
    <row r="191" spans="1:8" ht="20" customHeight="1">
      <c r="A191" s="61"/>
      <c r="B191" s="52" t="str">
        <f t="shared" si="10"/>
        <v/>
      </c>
      <c r="C191" s="62"/>
      <c r="D191" s="62"/>
      <c r="E191" s="63"/>
      <c r="F191" s="62"/>
      <c r="G191" s="62"/>
      <c r="H191" s="52" t="str">
        <f t="shared" si="11"/>
        <v/>
      </c>
    </row>
    <row r="192" spans="1:8" ht="20" customHeight="1">
      <c r="A192" s="61"/>
      <c r="B192" s="52" t="str">
        <f t="shared" si="10"/>
        <v/>
      </c>
      <c r="C192" s="62"/>
      <c r="D192" s="62"/>
      <c r="E192" s="63"/>
      <c r="F192" s="62"/>
      <c r="G192" s="62"/>
      <c r="H192" s="52" t="str">
        <f t="shared" si="11"/>
        <v/>
      </c>
    </row>
    <row r="193" spans="1:8" ht="20" customHeight="1">
      <c r="A193" s="61"/>
      <c r="B193" s="52" t="str">
        <f t="shared" si="10"/>
        <v/>
      </c>
      <c r="C193" s="62"/>
      <c r="D193" s="62"/>
      <c r="E193" s="63"/>
      <c r="F193" s="62"/>
      <c r="G193" s="62"/>
      <c r="H193" s="52" t="str">
        <f t="shared" si="11"/>
        <v/>
      </c>
    </row>
    <row r="194" spans="1:8" ht="20" customHeight="1">
      <c r="A194" s="61"/>
      <c r="B194" s="52" t="str">
        <f t="shared" si="10"/>
        <v/>
      </c>
      <c r="C194" s="62"/>
      <c r="D194" s="62"/>
      <c r="E194" s="63"/>
      <c r="F194" s="62"/>
      <c r="G194" s="62"/>
      <c r="H194" s="52" t="str">
        <f t="shared" si="11"/>
        <v/>
      </c>
    </row>
    <row r="195" spans="1:8" ht="20" customHeight="1">
      <c r="A195" s="61"/>
      <c r="B195" s="52" t="str">
        <f t="shared" si="10"/>
        <v/>
      </c>
      <c r="C195" s="62"/>
      <c r="D195" s="62"/>
      <c r="E195" s="63"/>
      <c r="F195" s="62"/>
      <c r="G195" s="62"/>
      <c r="H195" s="52" t="str">
        <f t="shared" si="11"/>
        <v/>
      </c>
    </row>
    <row r="196" spans="1:8" ht="20" customHeight="1">
      <c r="A196" s="61"/>
      <c r="B196" s="52" t="str">
        <f t="shared" si="10"/>
        <v/>
      </c>
      <c r="C196" s="62"/>
      <c r="D196" s="62"/>
      <c r="E196" s="63"/>
      <c r="F196" s="62"/>
      <c r="G196" s="62"/>
      <c r="H196" s="52" t="str">
        <f t="shared" si="11"/>
        <v/>
      </c>
    </row>
    <row r="197" spans="1:8" ht="20" customHeight="1">
      <c r="A197" s="61"/>
      <c r="B197" s="52" t="str">
        <f t="shared" si="10"/>
        <v/>
      </c>
      <c r="C197" s="62"/>
      <c r="D197" s="62"/>
      <c r="E197" s="63"/>
      <c r="F197" s="62"/>
      <c r="G197" s="62"/>
      <c r="H197" s="52" t="str">
        <f t="shared" si="11"/>
        <v/>
      </c>
    </row>
    <row r="198" spans="1:8" ht="20" customHeight="1">
      <c r="A198" s="61"/>
      <c r="B198" s="52" t="str">
        <f t="shared" si="10"/>
        <v/>
      </c>
      <c r="C198" s="62"/>
      <c r="D198" s="62"/>
      <c r="E198" s="63"/>
      <c r="F198" s="62"/>
      <c r="G198" s="62"/>
      <c r="H198" s="52" t="str">
        <f t="shared" si="11"/>
        <v/>
      </c>
    </row>
    <row r="199" spans="1:8" ht="20" customHeight="1">
      <c r="A199" s="61"/>
      <c r="B199" s="52" t="str">
        <f t="shared" ref="B199:B230" si="12">IF(A199="","",MONTH(A199))</f>
        <v/>
      </c>
      <c r="C199" s="62"/>
      <c r="D199" s="62"/>
      <c r="E199" s="63"/>
      <c r="F199" s="62"/>
      <c r="G199" s="62"/>
      <c r="H199" s="52" t="str">
        <f t="shared" ref="H199:H205" si="13">IF(A199="","",YEAR(A199))</f>
        <v/>
      </c>
    </row>
    <row r="200" spans="1:8" ht="20" customHeight="1">
      <c r="A200" s="61"/>
      <c r="B200" s="52" t="str">
        <f t="shared" si="12"/>
        <v/>
      </c>
      <c r="C200" s="62"/>
      <c r="D200" s="62"/>
      <c r="E200" s="63"/>
      <c r="F200" s="62"/>
      <c r="G200" s="62"/>
      <c r="H200" s="52" t="str">
        <f t="shared" si="13"/>
        <v/>
      </c>
    </row>
    <row r="201" spans="1:8" ht="20" customHeight="1">
      <c r="A201" s="61"/>
      <c r="B201" s="52" t="str">
        <f t="shared" si="12"/>
        <v/>
      </c>
      <c r="C201" s="62"/>
      <c r="D201" s="62"/>
      <c r="E201" s="63"/>
      <c r="F201" s="62"/>
      <c r="G201" s="62"/>
      <c r="H201" s="52" t="str">
        <f t="shared" si="13"/>
        <v/>
      </c>
    </row>
    <row r="202" spans="1:8" ht="20" customHeight="1">
      <c r="A202" s="61"/>
      <c r="B202" s="52" t="str">
        <f t="shared" si="12"/>
        <v/>
      </c>
      <c r="C202" s="62"/>
      <c r="D202" s="62"/>
      <c r="E202" s="63"/>
      <c r="F202" s="62"/>
      <c r="G202" s="62"/>
      <c r="H202" s="52" t="str">
        <f t="shared" si="13"/>
        <v/>
      </c>
    </row>
    <row r="203" spans="1:8" ht="20" customHeight="1">
      <c r="A203" s="61"/>
      <c r="B203" s="52" t="str">
        <f t="shared" si="12"/>
        <v/>
      </c>
      <c r="C203" s="62"/>
      <c r="D203" s="62"/>
      <c r="E203" s="63"/>
      <c r="F203" s="62"/>
      <c r="G203" s="62"/>
      <c r="H203" s="52" t="str">
        <f t="shared" si="13"/>
        <v/>
      </c>
    </row>
    <row r="204" spans="1:8" ht="20" customHeight="1">
      <c r="A204" s="61"/>
      <c r="B204" s="52" t="str">
        <f t="shared" si="12"/>
        <v/>
      </c>
      <c r="C204" s="62"/>
      <c r="D204" s="62"/>
      <c r="E204" s="63"/>
      <c r="F204" s="62"/>
      <c r="G204" s="62"/>
      <c r="H204" s="52" t="str">
        <f t="shared" si="13"/>
        <v/>
      </c>
    </row>
    <row r="205" spans="1:8" ht="20" customHeight="1">
      <c r="A205" s="61"/>
      <c r="B205" s="52" t="str">
        <f t="shared" si="12"/>
        <v/>
      </c>
      <c r="C205" s="62"/>
      <c r="D205" s="62"/>
      <c r="E205" s="63"/>
      <c r="F205" s="62"/>
      <c r="G205" s="62"/>
      <c r="H205" s="52" t="str">
        <f t="shared" si="13"/>
        <v/>
      </c>
    </row>
  </sheetData>
  <mergeCells count="3">
    <mergeCell ref="A1:H2"/>
    <mergeCell ref="A3:H3"/>
    <mergeCell ref="A5:H5"/>
  </mergeCells>
  <dataValidations count="2">
    <dataValidation type="list" sqref="C7:C205" xr:uid="{00000000-0002-0000-0300-000000000000}">
      <formula1>"Juancho,Beto"</formula1>
    </dataValidation>
    <dataValidation type="whole" sqref="E7:E205" xr:uid="{00000000-0002-0000-0300-000002000000}">
      <formula1>0</formula1>
      <formula2>100000000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1000000}">
          <x14:formula1>
            <xm:f>Configuracion!$I$7:$I$25</xm:f>
          </x14:formula1>
          <xm:sqref>F7:F205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showGridLines="0" topLeftCell="A11" workbookViewId="0">
      <selection activeCell="F11" sqref="F11"/>
    </sheetView>
  </sheetViews>
  <sheetFormatPr baseColWidth="10" defaultColWidth="8.83203125" defaultRowHeight="15"/>
  <cols>
    <col min="1" max="1" width="30" style="59" customWidth="1"/>
    <col min="2" max="2" width="18" style="59" customWidth="1"/>
    <col min="3" max="3" width="28" style="59" customWidth="1"/>
    <col min="4" max="6" width="14" style="59" customWidth="1"/>
    <col min="7" max="9" width="18" style="59" customWidth="1"/>
    <col min="10" max="16384" width="8.83203125" style="59"/>
  </cols>
  <sheetData>
    <row r="1" spans="1:9" ht="34" customHeight="1">
      <c r="A1" s="58" t="s">
        <v>82</v>
      </c>
      <c r="B1" s="58" t="s">
        <v>82</v>
      </c>
      <c r="C1" s="58" t="s">
        <v>82</v>
      </c>
      <c r="D1" s="58" t="s">
        <v>82</v>
      </c>
      <c r="E1" s="58" t="s">
        <v>82</v>
      </c>
      <c r="F1" s="58" t="s">
        <v>82</v>
      </c>
      <c r="G1" s="58" t="s">
        <v>82</v>
      </c>
      <c r="H1" s="58" t="s">
        <v>82</v>
      </c>
      <c r="I1" s="58" t="s">
        <v>82</v>
      </c>
    </row>
    <row r="2" spans="1:9" ht="34" customHeight="1">
      <c r="A2" s="58" t="s">
        <v>82</v>
      </c>
      <c r="B2" s="58" t="s">
        <v>82</v>
      </c>
      <c r="C2" s="58" t="s">
        <v>82</v>
      </c>
      <c r="D2" s="58" t="s">
        <v>82</v>
      </c>
      <c r="E2" s="58" t="s">
        <v>82</v>
      </c>
      <c r="F2" s="58" t="s">
        <v>82</v>
      </c>
      <c r="G2" s="58" t="s">
        <v>82</v>
      </c>
      <c r="H2" s="58" t="s">
        <v>82</v>
      </c>
      <c r="I2" s="58" t="s">
        <v>82</v>
      </c>
    </row>
    <row r="3" spans="1:9" ht="30" customHeight="1">
      <c r="A3" s="64" t="s">
        <v>83</v>
      </c>
      <c r="B3" s="64" t="s">
        <v>83</v>
      </c>
      <c r="C3" s="64" t="s">
        <v>83</v>
      </c>
      <c r="D3" s="64" t="s">
        <v>83</v>
      </c>
      <c r="E3" s="64" t="s">
        <v>83</v>
      </c>
      <c r="F3" s="64" t="s">
        <v>83</v>
      </c>
      <c r="G3" s="64" t="s">
        <v>83</v>
      </c>
      <c r="H3" s="64" t="s">
        <v>83</v>
      </c>
      <c r="I3" s="64" t="s">
        <v>83</v>
      </c>
    </row>
    <row r="5" spans="1:9" ht="24" customHeight="1">
      <c r="A5" s="65" t="s">
        <v>84</v>
      </c>
      <c r="B5" s="65" t="s">
        <v>84</v>
      </c>
      <c r="C5" s="65" t="s">
        <v>84</v>
      </c>
      <c r="G5" s="65" t="s">
        <v>85</v>
      </c>
      <c r="H5" s="65" t="s">
        <v>85</v>
      </c>
      <c r="I5" s="65" t="s">
        <v>85</v>
      </c>
    </row>
    <row r="6" spans="1:9">
      <c r="A6" s="66" t="s">
        <v>86</v>
      </c>
      <c r="B6" s="66" t="s">
        <v>73</v>
      </c>
      <c r="G6" s="66" t="s">
        <v>87</v>
      </c>
      <c r="H6" s="66" t="s">
        <v>74</v>
      </c>
      <c r="I6" s="66" t="s">
        <v>88</v>
      </c>
    </row>
    <row r="7" spans="1:9">
      <c r="A7" s="67" t="s">
        <v>76</v>
      </c>
      <c r="B7" s="68">
        <v>2026</v>
      </c>
      <c r="G7" s="69" t="s">
        <v>89</v>
      </c>
      <c r="H7" s="69" t="s">
        <v>90</v>
      </c>
      <c r="I7" s="69" t="s">
        <v>91</v>
      </c>
    </row>
    <row r="8" spans="1:9">
      <c r="A8" s="67" t="s">
        <v>92</v>
      </c>
      <c r="B8" s="70">
        <v>6</v>
      </c>
      <c r="G8" s="69" t="s">
        <v>93</v>
      </c>
      <c r="H8" s="69" t="s">
        <v>53</v>
      </c>
      <c r="I8" s="69" t="s">
        <v>94</v>
      </c>
    </row>
    <row r="9" spans="1:9">
      <c r="A9" s="67" t="s">
        <v>95</v>
      </c>
      <c r="B9" s="70">
        <v>20</v>
      </c>
      <c r="G9" s="69" t="s">
        <v>96</v>
      </c>
      <c r="H9" s="69" t="s">
        <v>54</v>
      </c>
      <c r="I9" s="69" t="s">
        <v>97</v>
      </c>
    </row>
    <row r="10" spans="1:9">
      <c r="A10" s="67" t="s">
        <v>98</v>
      </c>
      <c r="B10" s="71">
        <v>0.22</v>
      </c>
      <c r="G10" s="69" t="s">
        <v>99</v>
      </c>
      <c r="H10" s="69" t="s">
        <v>100</v>
      </c>
      <c r="I10" s="69" t="s">
        <v>101</v>
      </c>
    </row>
    <row r="11" spans="1:9">
      <c r="G11" s="69" t="s">
        <v>102</v>
      </c>
      <c r="H11" s="69" t="s">
        <v>103</v>
      </c>
      <c r="I11" s="69" t="s">
        <v>104</v>
      </c>
    </row>
    <row r="12" spans="1:9" ht="24" customHeight="1">
      <c r="A12" s="65" t="s">
        <v>105</v>
      </c>
      <c r="B12" s="65" t="s">
        <v>105</v>
      </c>
      <c r="C12" s="65" t="s">
        <v>105</v>
      </c>
      <c r="D12" s="65" t="s">
        <v>105</v>
      </c>
      <c r="G12" s="69" t="s">
        <v>106</v>
      </c>
      <c r="H12" s="69"/>
      <c r="I12" s="69" t="s">
        <v>107</v>
      </c>
    </row>
    <row r="13" spans="1:9">
      <c r="A13" s="66" t="s">
        <v>30</v>
      </c>
      <c r="B13" s="66" t="s">
        <v>32</v>
      </c>
      <c r="C13" s="66" t="s">
        <v>52</v>
      </c>
      <c r="G13" s="69" t="s">
        <v>108</v>
      </c>
      <c r="H13" s="69"/>
      <c r="I13" s="69" t="s">
        <v>109</v>
      </c>
    </row>
    <row r="14" spans="1:9">
      <c r="A14" s="67" t="s">
        <v>34</v>
      </c>
      <c r="B14" s="72">
        <v>32000</v>
      </c>
      <c r="C14" s="67" t="s">
        <v>110</v>
      </c>
      <c r="G14" s="69" t="s">
        <v>111</v>
      </c>
      <c r="H14" s="69"/>
      <c r="I14" s="69" t="s">
        <v>103</v>
      </c>
    </row>
    <row r="15" spans="1:9">
      <c r="A15" s="67" t="s">
        <v>35</v>
      </c>
      <c r="B15" s="72">
        <v>30000</v>
      </c>
      <c r="C15" s="67" t="s">
        <v>112</v>
      </c>
      <c r="G15" s="69" t="s">
        <v>113</v>
      </c>
      <c r="H15" s="69"/>
      <c r="I15" s="69"/>
    </row>
    <row r="16" spans="1:9">
      <c r="A16" s="67" t="s">
        <v>36</v>
      </c>
      <c r="B16" s="72">
        <v>16000</v>
      </c>
      <c r="C16" s="67" t="s">
        <v>114</v>
      </c>
      <c r="G16" s="69" t="s">
        <v>115</v>
      </c>
      <c r="H16" s="69"/>
      <c r="I16" s="69"/>
    </row>
    <row r="17" spans="1:9">
      <c r="A17" s="67" t="s">
        <v>37</v>
      </c>
      <c r="B17" s="72">
        <v>12000</v>
      </c>
      <c r="C17" s="67" t="s">
        <v>116</v>
      </c>
      <c r="G17" s="69" t="s">
        <v>117</v>
      </c>
      <c r="H17" s="69"/>
      <c r="I17" s="69"/>
    </row>
    <row r="18" spans="1:9">
      <c r="A18" s="67" t="s">
        <v>38</v>
      </c>
      <c r="B18" s="72">
        <v>12000</v>
      </c>
      <c r="C18" s="67" t="s">
        <v>118</v>
      </c>
      <c r="G18" s="69" t="s">
        <v>119</v>
      </c>
      <c r="H18" s="69"/>
      <c r="I18" s="69"/>
    </row>
    <row r="19" spans="1:9">
      <c r="G19" s="69" t="s">
        <v>120</v>
      </c>
      <c r="H19" s="69"/>
      <c r="I19" s="69"/>
    </row>
    <row r="20" spans="1:9" ht="24" customHeight="1">
      <c r="A20" s="65" t="s">
        <v>121</v>
      </c>
      <c r="B20" s="65" t="s">
        <v>121</v>
      </c>
      <c r="C20" s="65" t="s">
        <v>121</v>
      </c>
      <c r="D20" s="65" t="s">
        <v>121</v>
      </c>
      <c r="G20" s="69" t="s">
        <v>122</v>
      </c>
      <c r="H20" s="69"/>
      <c r="I20" s="69"/>
    </row>
    <row r="21" spans="1:9">
      <c r="A21" s="66" t="s">
        <v>123</v>
      </c>
      <c r="B21" s="66" t="s">
        <v>124</v>
      </c>
      <c r="C21" s="66" t="s">
        <v>52</v>
      </c>
      <c r="G21" s="69" t="s">
        <v>125</v>
      </c>
      <c r="H21" s="69"/>
      <c r="I21" s="69"/>
    </row>
    <row r="22" spans="1:9">
      <c r="A22" s="67" t="s">
        <v>53</v>
      </c>
      <c r="B22" s="71">
        <v>0.5</v>
      </c>
      <c r="C22" s="67" t="s">
        <v>126</v>
      </c>
      <c r="G22" s="69" t="s">
        <v>127</v>
      </c>
      <c r="H22" s="69"/>
      <c r="I22" s="69"/>
    </row>
    <row r="23" spans="1:9">
      <c r="A23" s="67" t="s">
        <v>54</v>
      </c>
      <c r="B23" s="71">
        <v>0.5</v>
      </c>
      <c r="C23" s="67" t="s">
        <v>126</v>
      </c>
      <c r="G23" s="69" t="s">
        <v>128</v>
      </c>
      <c r="H23" s="69"/>
      <c r="I23" s="69"/>
    </row>
    <row r="24" spans="1:9">
      <c r="A24" s="73" t="s">
        <v>129</v>
      </c>
      <c r="B24" s="74">
        <f>SUM(B22:B23)</f>
        <v>1</v>
      </c>
      <c r="G24" s="69" t="s">
        <v>130</v>
      </c>
      <c r="H24" s="69"/>
      <c r="I24" s="69"/>
    </row>
    <row r="25" spans="1:9">
      <c r="G25" s="69" t="s">
        <v>103</v>
      </c>
      <c r="H25" s="69"/>
      <c r="I25" s="69"/>
    </row>
    <row r="26" spans="1:9" ht="24" customHeight="1">
      <c r="A26" s="65" t="s">
        <v>131</v>
      </c>
      <c r="B26" s="65" t="s">
        <v>131</v>
      </c>
      <c r="C26" s="65" t="s">
        <v>131</v>
      </c>
      <c r="D26" s="65" t="s">
        <v>131</v>
      </c>
      <c r="E26" s="65" t="s">
        <v>131</v>
      </c>
      <c r="F26" s="65" t="s">
        <v>131</v>
      </c>
    </row>
    <row r="27" spans="1:9" ht="24" customHeight="1">
      <c r="A27" s="75" t="s">
        <v>132</v>
      </c>
      <c r="B27" s="76"/>
      <c r="C27" s="76"/>
      <c r="D27" s="76"/>
      <c r="E27" s="76"/>
      <c r="F27" s="77"/>
    </row>
    <row r="28" spans="1:9" ht="24" customHeight="1">
      <c r="A28" s="78" t="s">
        <v>133</v>
      </c>
      <c r="B28" s="79"/>
      <c r="C28" s="79"/>
      <c r="D28" s="79"/>
      <c r="E28" s="79"/>
      <c r="F28" s="80"/>
    </row>
    <row r="29" spans="1:9" ht="24" customHeight="1">
      <c r="A29" s="78" t="s">
        <v>134</v>
      </c>
      <c r="B29" s="79"/>
      <c r="C29" s="79"/>
      <c r="D29" s="79"/>
      <c r="E29" s="79"/>
      <c r="F29" s="80"/>
    </row>
    <row r="30" spans="1:9" ht="24" customHeight="1">
      <c r="A30" s="78" t="s">
        <v>135</v>
      </c>
      <c r="B30" s="79"/>
      <c r="C30" s="79"/>
      <c r="D30" s="79"/>
      <c r="E30" s="79"/>
      <c r="F30" s="80"/>
    </row>
    <row r="31" spans="1:9" ht="24" customHeight="1">
      <c r="A31" s="78" t="s">
        <v>136</v>
      </c>
      <c r="B31" s="79"/>
      <c r="C31" s="79"/>
      <c r="D31" s="79"/>
      <c r="E31" s="79"/>
      <c r="F31" s="80"/>
    </row>
    <row r="32" spans="1:9" ht="24" customHeight="1">
      <c r="A32" s="81" t="s">
        <v>137</v>
      </c>
      <c r="B32" s="82"/>
      <c r="C32" s="82"/>
      <c r="D32" s="82"/>
      <c r="E32" s="82"/>
      <c r="F32" s="83"/>
    </row>
  </sheetData>
  <mergeCells count="13">
    <mergeCell ref="A30:F30"/>
    <mergeCell ref="A31:F31"/>
    <mergeCell ref="A32:F32"/>
    <mergeCell ref="A20:D20"/>
    <mergeCell ref="A26:F26"/>
    <mergeCell ref="A27:F27"/>
    <mergeCell ref="A28:F28"/>
    <mergeCell ref="A29:F29"/>
    <mergeCell ref="A1:I2"/>
    <mergeCell ref="A3:I3"/>
    <mergeCell ref="A5:C5"/>
    <mergeCell ref="G5:I5"/>
    <mergeCell ref="A12:D12"/>
  </mergeCells>
  <conditionalFormatting sqref="B24">
    <cfRule type="cellIs" dxfId="42" priority="1" operator="notEqual">
      <formula>1</formula>
    </cfRule>
  </conditionalFormatting>
  <dataValidations count="5">
    <dataValidation type="whole" sqref="B7" xr:uid="{00000000-0002-0000-0400-000000000000}">
      <formula1>2020</formula1>
      <formula2>2100</formula2>
    </dataValidation>
    <dataValidation type="list" sqref="B8" xr:uid="{00000000-0002-0000-0400-000001000000}">
      <formula1>"1,2,3,4,5,6,7,8,9,10,11,12"</formula1>
    </dataValidation>
    <dataValidation type="whole" sqref="B9" xr:uid="{00000000-0002-0000-0400-000002000000}">
      <formula1>1</formula1>
      <formula2>200</formula2>
    </dataValidation>
    <dataValidation type="decimal" sqref="B10 B22:B23" xr:uid="{00000000-0002-0000-0400-000003000000}">
      <formula1>0</formula1>
      <formula2>1</formula2>
    </dataValidation>
    <dataValidation type="whole" sqref="B14:B18" xr:uid="{00000000-0002-0000-0400-000004000000}">
      <formula1>0</formula1>
      <formula2>10000000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Registro diario</vt:lpstr>
      <vt:lpstr>Gastos volqueta</vt:lpstr>
      <vt:lpstr>Aportes tios</vt:lpstr>
      <vt:lpstr>Configuracion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Reuto</cp:lastModifiedBy>
  <dcterms:modified xsi:type="dcterms:W3CDTF">2026-06-16T03:06:13Z</dcterms:modified>
</cp:coreProperties>
</file>